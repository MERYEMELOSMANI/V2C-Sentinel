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fea85148c24759" /></Relationships>
</file>

<file path=xl/workbook.xml><?xml version="1.0" encoding="utf-8"?>
<x:workbook xmlns:x="http://schemas.openxmlformats.org/spreadsheetml/2006/main">
  <x:sheets>
    <x:sheet xmlns:r="http://schemas.openxmlformats.org/officeDocument/2006/relationships" name="SMS Summary" sheetId="1" r:id="R29bb875e75ac4121"/>
    <x:sheet xmlns:r="http://schemas.openxmlformats.org/officeDocument/2006/relationships" name="Screening" sheetId="2" r:id="R385ae84798f9466a"/>
    <x:sheet xmlns:r="http://schemas.openxmlformats.org/officeDocument/2006/relationships" name="Search Log" sheetId="3" r:id="R972c286ab97e4862"/>
    <x:sheet xmlns:r="http://schemas.openxmlformats.org/officeDocument/2006/relationships" name="Existing Evidence" sheetId="4" r:id="R8804909eae224737"/>
    <x:sheet xmlns:r="http://schemas.openxmlformats.org/officeDocument/2006/relationships" name="All Records" sheetId="5" r:id="Rfa49fb9f5209462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9">
    <x:font>
      <x:sz val="11"/>
      <x:name val="Carlito"/>
    </x:font>
    <x:font>
      <x:b/>
      <x:sz val="18"/>
      <x:color rgb="FFFFFFFF"/>
      <x:name val="Arial"/>
    </x:font>
    <x:font>
      <x:i/>
      <x:sz val="11"/>
      <x:color rgb="FF1F4E78"/>
      <x:name val="Arial"/>
    </x:font>
    <x:font>
      <x:b/>
      <x:sz val="10"/>
      <x:color rgb="FFFFFFFF"/>
      <x:name val="Arial"/>
    </x:font>
    <x:font>
      <x:sz val="10"/>
      <x:color rgb="FF1F2937"/>
      <x:name val="Arial"/>
    </x:font>
    <x:font>
      <x:b/>
      <x:sz val="11"/>
      <x:color rgb="FFFFFFFF"/>
      <x:name val="Arial"/>
    </x:font>
    <x:font>
      <x:b/>
      <x:sz val="10"/>
      <x:color rgb="FF1F4E78"/>
      <x:name val="Arial"/>
    </x:font>
    <x:font>
      <x:b/>
      <x:sz val="10"/>
      <x:color rgb="FF1F2937"/>
      <x:name val="Arial"/>
    </x:font>
    <x:font>
      <x:i/>
      <x:sz val="10"/>
      <x:color rgb="FF1F2937"/>
      <x:name val="Arial"/>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0F6B78"/>
      </x:patternFill>
    </x:fill>
  </x:fills>
  <x:borders count="3">
    <x:border/>
    <x:border>
      <x:left style="thin">
        <x:color rgb="FFA6B8CE"/>
      </x:left>
      <x:right style="thin">
        <x:color rgb="FFA6B8CE"/>
      </x:right>
      <x:top style="thin">
        <x:color rgb="FFA6B8CE"/>
      </x:top>
      <x:bottom style="thin">
        <x:color rgb="FFA6B8CE"/>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4" fillId="4" borderId="2"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0" fillId="7" borderId="0" xfId="0" applyNumberFormat="1" applyFont="1" applyFill="1" applyBorder="1"/>
    <x:xf numFmtId="0" fontId="5" fillId="7" borderId="0" xfId="0" applyNumberFormat="1" applyFont="1" applyFill="1" applyBorder="1"/>
    <x:xf numFmtId="0" fontId="4" fillId="3" borderId="2" xfId="0" applyNumberFormat="1" applyFont="1" applyFill="1" applyBorder="1" applyAlignment="1">
      <x:alignment vertical="top" wrapText="1"/>
    </x:xf>
    <x:xf numFmtId="0" fontId="6" fillId="3" borderId="2" xfId="0" applyNumberFormat="1" applyFont="1" applyFill="1" applyBorder="1" applyAlignment="1">
      <x:alignment vertical="top" wrapText="1"/>
    </x:xf>
    <x:xf numFmtId="0" fontId="7" fillId="2" borderId="0" xfId="0" applyNumberFormat="1" applyFont="1" applyFill="1" applyBorder="1" applyAlignment="1">
      <x:alignment vertical="center"/>
    </x:xf>
    <x:xf numFmtId="0" fontId="8" fillId="3" borderId="0" xfId="0" applyNumberFormat="1" applyFont="1" applyFill="1" applyBorder="1" applyAlignment="1">
      <x:alignment vertical="center"/>
    </x:xf>
    <x:xf numFmtId="0" fontId="7" fillId="2" borderId="1" xfId="0" applyNumberFormat="1" applyFont="1" applyFill="1" applyBorder="1" applyAlignment="1">
      <x:alignment vertical="center" wrapText="1"/>
    </x:xf>
    <x:xf numFmtId="0" fontId="7" fillId="7" borderId="0" xfId="0" applyNumberFormat="1" applyFont="1" applyFill="1" applyBorder="1"/>
    <x:xf numFmtId="0" fontId="7" fillId="3" borderId="2" xfId="0" applyNumberFormat="1" applyFont="1" applyFill="1" applyBorder="1" applyAlignment="1">
      <x:alignment vertical="top" wrapText="1"/>
    </x:xf>
    <x:xf numFmtId="0" fontId="7" fillId="2" borderId="0" xfId="0" applyNumberFormat="1" applyFont="1" applyFill="1" applyBorder="1" applyAlignment="1">
      <x:alignment vertical="top"/>
    </x:xf>
    <x:xf numFmtId="0" fontId="8" fillId="3" borderId="0" xfId="0" applyNumberFormat="1" applyFont="1" applyFill="1" applyBorder="1" applyAlignment="1">
      <x:alignment vertical="top"/>
    </x:xf>
    <x:xf numFmtId="0" fontId="4" fillId="0" borderId="0" xfId="0" applyNumberFormat="1" applyFont="1" applyFill="1" applyBorder="1" applyAlignment="1">
      <x:alignment vertical="top"/>
    </x:xf>
    <x:xf numFmtId="0" fontId="7" fillId="2" borderId="1" xfId="0" applyNumberFormat="1" applyFont="1" applyFill="1" applyBorder="1" applyAlignment="1">
      <x:alignment vertical="top" wrapText="1"/>
    </x:xf>
    <x:xf numFmtId="0" fontId="7" fillId="7" borderId="0" xfId="0" applyNumberFormat="1" applyFont="1" applyFill="1" applyBorder="1" applyAlignment="1">
      <x:alignment vertical="top"/>
    </x:xf>
    <x:xf numFmtId="201" fontId="4" fillId="0" borderId="2" xfId="0" applyNumberFormat="1" applyFont="1" applyFill="1" applyBorder="1" applyAlignment="1">
      <x:alignment vertical="top" wrapText="1"/>
    </x:xf>
    <x:xf numFmtId="0" fontId="6" fillId="3" borderId="0" xfId="0" applyNumberFormat="1" applyFont="1" applyFill="1" applyBorder="1"/>
    <x:xf numFmtId="0" fontId="6" fillId="3" borderId="2" xfId="0" applyNumberFormat="1" applyFont="1" applyFill="1" applyBorder="1"/>
    <x:xf numFmtId="0" fontId="6" fillId="0" borderId="2" xfId="0" applyNumberFormat="1" applyFont="1" applyFill="1" applyBorder="1" applyAlignment="1">
      <x:alignment vertical="top" wrapText="1"/>
    </x:xf>
  </x:cellXfs>
  <x:cellStyles count="1">
    <x:cellStyle name="Normal" xfId="0"/>
  </x:cellStyles>
  <x:dxfs count="4">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7ad25655664e0a" /><Relationship Type="http://schemas.openxmlformats.org/officeDocument/2006/relationships/theme" Target="/xl/theme/theme1.xml" Id="R11f9b49692444822" /><Relationship Type="http://schemas.openxmlformats.org/officeDocument/2006/relationships/sharedStrings" Target="/xl/sharedStrings.xml" Id="Rb00eee89e1044ee6" /><Relationship Type="http://schemas.openxmlformats.org/officeDocument/2006/relationships/worksheet" Target="/xl/worksheets/sheet1.xml" Id="R29bb875e75ac4121" /><Relationship Type="http://schemas.openxmlformats.org/officeDocument/2006/relationships/worksheet" Target="/xl/worksheets/sheet2.xml" Id="R385ae84798f9466a" /><Relationship Type="http://schemas.openxmlformats.org/officeDocument/2006/relationships/worksheet" Target="/xl/worksheets/sheet3.xml" Id="R972c286ab97e4862" /><Relationship Type="http://schemas.openxmlformats.org/officeDocument/2006/relationships/worksheet" Target="/xl/worksheets/sheet4.xml" Id="R8804909eae224737" /><Relationship Type="http://schemas.openxmlformats.org/officeDocument/2006/relationships/worksheet" Target="/xl/worksheets/sheet5.xml" Id="Rfa49fb9f5209462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pane ySplit="2" topLeftCell="A3" activePane="bottomLeft" state="frozen"/>
    </x:sheetView>
  </x:sheetViews>
  <x:sheetFormatPr defaultRowHeight="15"/>
  <x:cols>
    <x:col min="1" max="1" width="36" hidden="0" customWidth="1"/>
    <x:col min="2" max="2" width="16" hidden="0" customWidth="1"/>
    <x:col min="3" max="3" width="4" hidden="0" customWidth="1"/>
    <x:col min="4" max="4" width="26" hidden="0" customWidth="1"/>
    <x:col min="5" max="5" width="14" hidden="0" customWidth="1"/>
    <x:col min="6" max="6" width="18" hidden="0" customWidth="1"/>
  </x:cols>
  <x:sheetData>
    <x:row r="1" ht="34" customHeight="1">
      <x:c r="A1" s="28" t="str">
        <x:v>V2C-Sentinel — Systematic Mapping Study Workbook</x:v>
      </x:c>
      <x:c r="B1" s="28"/>
      <x:c r="C1" s="28"/>
      <x:c r="D1" s="28"/>
      <x:c r="E1" s="28"/>
      <x:c r="F1" s="28"/>
    </x:row>
    <x:row r="2">
      <x:c r="A2" s="29" t="str">
        <x:v>Merged bibliography, duplicate control, screening decisions, and the 15-study evidence matrix</x:v>
      </x:c>
      <x:c r="B2" s="29"/>
      <x:c r="C2" s="29"/>
      <x:c r="D2" s="29"/>
      <x:c r="E2" s="29"/>
      <x:c r="F2" s="29"/>
    </x:row>
    <x:row r="3">
      <x:c r="A3" s="30"/>
      <x:c r="B3" s="30"/>
      <x:c r="C3" s="30"/>
      <x:c r="D3" s="30"/>
      <x:c r="E3" s="30"/>
      <x:c r="F3" s="30"/>
    </x:row>
    <x:row r="4">
      <x:c r="A4" s="31" t="str">
        <x:v>Measure</x:v>
      </x:c>
      <x:c r="B4" s="31" t="str">
        <x:v>Count</x:v>
      </x:c>
      <x:c r="C4" s="30"/>
      <x:c r="D4" s="31" t="str">
        <x:v>Current screening status</x:v>
      </x:c>
      <x:c r="E4" s="31" t="str">
        <x:v>Count</x:v>
      </x:c>
      <x:c r="F4" s="30"/>
    </x:row>
    <x:row r="5">
      <x:c r="A5" s="14" t="str">
        <x:v>Raw hits reported across four searches</x:v>
      </x:c>
      <x:c r="B5" s="15" t="n">
        <x:f>SUM('Search Log'!F2:F5)</x:f>
        <x:v>218</x:v>
      </x:c>
      <x:c r="C5" s="30"/>
      <x:c r="D5" s="16" t="str">
        <x:v>Include</x:v>
      </x:c>
      <x:c r="E5" s="16" t="n">
        <x:f>COUNTIFS(Screening!P2:P57,"Include")</x:f>
        <x:v>15</x:v>
      </x:c>
      <x:c r="F5" s="30"/>
    </x:row>
    <x:row r="6">
      <x:c r="A6" s="14" t="str">
        <x:v>Bibliographic records in Zotero collection</x:v>
      </x:c>
      <x:c r="B6" s="15" t="n">
        <x:f>COUNTIFS('All Records'!K2:K75,"Zotero collection")</x:f>
        <x:v>59</x:v>
      </x:c>
      <x:c r="C6" s="30"/>
      <x:c r="D6" s="17" t="str">
        <x:v>Pending</x:v>
      </x:c>
      <x:c r="E6" s="17" t="n">
        <x:f>COUNTIFS(Screening!P2:P57,"Pending")</x:f>
        <x:v>40</x:v>
      </x:c>
      <x:c r="F6" s="30"/>
    </x:row>
    <x:row r="7">
      <x:c r="A7" s="14" t="str">
        <x:v>Previously analyzed evidence records</x:v>
      </x:c>
      <x:c r="B7" s="15" t="n">
        <x:f>COUNTIFS('All Records'!K2:K75,"Existing evidence matrix")</x:f>
        <x:v>15</x:v>
      </x:c>
      <x:c r="C7" s="30"/>
      <x:c r="D7" s="18" t="str">
        <x:v>Exclude</x:v>
      </x:c>
      <x:c r="E7" s="18" t="n">
        <x:f>COUNTIFS(Screening!P2:P57,"Exclude")</x:f>
        <x:v>1</x:v>
      </x:c>
      <x:c r="F7" s="30"/>
    </x:row>
    <x:row r="8">
      <x:c r="A8" s="14" t="str">
        <x:v>Combined source records</x:v>
      </x:c>
      <x:c r="B8" s="15" t="n">
        <x:f>COUNTA('All Records'!A2:A75)</x:f>
        <x:v>74</x:v>
      </x:c>
      <x:c r="C8" s="30"/>
      <x:c r="D8" s="30"/>
      <x:c r="E8" s="30"/>
      <x:c r="F8" s="30"/>
    </x:row>
    <x:row r="9">
      <x:c r="A9" s="14" t="str">
        <x:v>Duplicate / alternate records</x:v>
      </x:c>
      <x:c r="B9" s="15" t="n">
        <x:f>COUNTIFS('All Records'!N2:N75,"Duplicate/alternate version")</x:f>
        <x:v>18</x:v>
      </x:c>
      <x:c r="C9" s="30"/>
      <x:c r="D9" s="30"/>
      <x:c r="E9" s="30"/>
      <x:c r="F9" s="30"/>
    </x:row>
    <x:row r="10">
      <x:c r="A10" s="14" t="str">
        <x:v>Unique candidates available for screening</x:v>
      </x:c>
      <x:c r="B10" s="15" t="n">
        <x:f>COUNTA(Screening!A2:A57)</x:f>
        <x:v>56</x:v>
      </x:c>
      <x:c r="C10" s="30"/>
      <x:c r="D10" s="30"/>
      <x:c r="E10" s="30"/>
      <x:c r="F10" s="30"/>
    </x:row>
    <x:row r="11">
      <x:c r="A11" s="14" t="str">
        <x:v>Already analyzed and retained</x:v>
      </x:c>
      <x:c r="B11" s="15" t="n">
        <x:f>COUNTIFS(Screening!Q2:Q57,"Yes")</x:f>
        <x:v>15</x:v>
      </x:c>
      <x:c r="C11" s="30"/>
      <x:c r="D11" s="30"/>
      <x:c r="E11" s="30"/>
      <x:c r="F11" s="30"/>
    </x:row>
    <x:row r="12">
      <x:c r="A12" s="14" t="str">
        <x:v>Candidates still pending screening</x:v>
      </x:c>
      <x:c r="B12" s="15" t="n">
        <x:f>COUNTIFS(Screening!P2:P57,"Pending")</x:f>
        <x:v>40</x:v>
      </x:c>
      <x:c r="C12" s="30"/>
      <x:c r="D12" s="30"/>
      <x:c r="E12" s="30"/>
      <x:c r="F12" s="30"/>
    </x:row>
    <x:row r="13">
      <x:c r="A13" s="30"/>
      <x:c r="B13" s="30"/>
      <x:c r="C13" s="30"/>
      <x:c r="D13" s="30"/>
      <x:c r="E13" s="30"/>
      <x:c r="F13" s="30"/>
    </x:row>
    <x:row r="14">
      <x:c r="A14" s="30"/>
      <x:c r="B14" s="30"/>
      <x:c r="C14" s="30"/>
      <x:c r="D14" s="30"/>
      <x:c r="E14" s="30"/>
      <x:c r="F14" s="30"/>
    </x:row>
    <x:row r="15">
      <x:c r="A15" s="32" t="str">
        <x:v>Method and interpretation</x:v>
      </x:c>
      <x:c r="B15" s="32"/>
      <x:c r="C15" s="32"/>
      <x:c r="D15" s="32"/>
      <x:c r="E15" s="32"/>
      <x:c r="F15" s="32"/>
    </x:row>
    <x:row r="16" ht="44" customHeight="1">
      <x:c r="A16" s="27" t="str">
        <x:v>Study type</x:v>
      </x:c>
      <x:c r="B16" s="14" t="str">
        <x:v>Systematic Mapping Study (SMS): the workbook maps the field and keeps a transparent screening trail; it is not yet a completed SLR meta-synthesis.</x:v>
      </x:c>
      <x:c r="C16" s="14" t="str"/>
      <x:c r="D16" s="14" t="str"/>
      <x:c r="E16" s="14" t="str"/>
      <x:c r="F16" s="14" t="str"/>
    </x:row>
    <x:row r="17" ht="44" customHeight="1">
      <x:c r="A17" s="27" t="str">
        <x:v>Deduplication rule</x:v>
      </x:c>
      <x:c r="B17" s="14" t="str">
        <x:v>Records are merged by normalized DOI first and normalized title second. Alternate publication, preprint, and webpage versions remain visible in All Records.</x:v>
      </x:c>
      <x:c r="C17" s="14" t="str"/>
      <x:c r="D17" s="14" t="str"/>
      <x:c r="E17" s="14" t="str"/>
      <x:c r="F17" s="14" t="str"/>
    </x:row>
    <x:row r="18" ht="44" customHeight="1">
      <x:c r="A18" s="27" t="str">
        <x:v>Coverage limitation</x:v>
      </x:c>
      <x:c r="B18" s="14" t="str">
        <x:v>The four searches report 218 raw hits, but COLLECTION.zip contains only 59 bibliographic records. Therefore, this workbook can deduplicate the supplied collection, not all 218 hits.</x:v>
      </x:c>
      <x:c r="C18" s="14" t="str"/>
      <x:c r="D18" s="14" t="str"/>
      <x:c r="E18" s="14" t="str"/>
      <x:c r="F18" s="14" t="str"/>
    </x:row>
    <x:row r="19" ht="44" customHeight="1">
      <x:c r="A19" s="27" t="str">
        <x:v>Use of the 15 articles</x:v>
      </x:c>
      <x:c r="B19" s="14" t="str">
        <x:v>All 15 articles from Classeur1_fixed_v3.xlsx are preserved in Existing Evidence and marked Include in Screening. Overlapping Zotero records are linked to the same candidate.</x:v>
      </x:c>
      <x:c r="C19" s="14" t="str"/>
      <x:c r="D19" s="14" t="str"/>
      <x:c r="E19" s="14" t="str"/>
      <x:c r="F19" s="14" t="str"/>
    </x:row>
    <x:row r="20" ht="44" customHeight="1">
      <x:c r="A20" s="27" t="str">
        <x:v>Next screening action</x:v>
      </x:c>
      <x:c r="B20" s="14" t="str">
        <x:v>Review every Pending row in Screening using title/abstract first, then full text. Record one controlled exclusion reason for each excluded study.</x:v>
      </x:c>
      <x:c r="C20" s="14" t="str"/>
      <x:c r="D20" s="14" t="str"/>
      <x:c r="E20" s="14" t="str"/>
      <x:c r="F20" s="14" t="str"/>
    </x:row>
  </x:sheetData>
  <x:mergeCells>
    <x:mergeCell ref="A1:F1"/>
    <x:mergeCell ref="A2:F2"/>
    <x:mergeCell ref="A15:F15"/>
    <x:mergeCell ref="B16:F16"/>
    <x:mergeCell ref="B17:F17"/>
    <x:mergeCell ref="B18:F18"/>
    <x:mergeCell ref="B19:F19"/>
    <x:mergeCell ref="B20:F20"/>
  </x:mergeCells>
  <x:pageMargins left="0.7" right="0.7" top="0.75" bottom="0.75" header="0.3" footer="0.3"/>
</x:worksheet>
</file>

<file path=xl/worksheets/sheet2.xml><?xml version="1.0" encoding="utf-8"?>
<x:worksheet xmlns:x="http://schemas.openxmlformats.org/spreadsheetml/2006/main">
  <x:sheetPr>
    <x:tabColor rgb="FF1F4E78"/>
  </x:sheetPr>
  <x:sheetViews>
    <x:sheetView workbookViewId="0">
      <x:pane xSplit="2" ySplit="1" topLeftCell="C2" activePane="bottomRight" state="frozen"/>
    </x:sheetView>
  </x:sheetViews>
  <x:sheetFormatPr defaultRowHeight="15"/>
  <x:cols>
    <x:col min="1" max="1" width="13" hidden="0" customWidth="1"/>
    <x:col min="2" max="2" width="52" hidden="0" customWidth="1"/>
    <x:col min="3" max="3" width="34" hidden="0" customWidth="1"/>
    <x:col min="4" max="4" width="9" hidden="0" customWidth="1"/>
    <x:col min="5" max="5" width="25" hidden="0" customWidth="1"/>
    <x:col min="6" max="6" width="40" hidden="0" customWidth="1"/>
    <x:col min="7" max="7" width="22" hidden="0" customWidth="1"/>
    <x:col min="8" max="8" width="22" hidden="0" customWidth="1"/>
    <x:col min="9" max="9" width="22" hidden="0" customWidth="1"/>
    <x:col min="10" max="10" width="22" hidden="0" customWidth="1"/>
    <x:col min="11" max="11" width="17" hidden="0" customWidth="1"/>
    <x:col min="12" max="12" width="17" hidden="0" customWidth="1"/>
    <x:col min="13" max="13" width="21" hidden="0" customWidth="1"/>
    <x:col min="14" max="14" width="21" hidden="0" customWidth="1"/>
    <x:col min="15" max="15" width="38" hidden="0" customWidth="1"/>
    <x:col min="16" max="16" width="20" hidden="0" customWidth="1"/>
    <x:col min="17" max="17" width="20" hidden="0" customWidth="1"/>
    <x:col min="18" max="18" width="20" hidden="0" customWidth="1"/>
    <x:col min="19" max="19" width="32" hidden="0" customWidth="1"/>
  </x:cols>
  <x:sheetData>
    <x:row r="1">
      <x:c r="A1" s="10" t="str">
        <x:v>Candidate ID</x:v>
      </x:c>
      <x:c r="B1" s="10" t="str">
        <x:v>Title</x:v>
      </x:c>
      <x:c r="C1" s="10" t="str">
        <x:v>Authors</x:v>
      </x:c>
      <x:c r="D1" s="10" t="str">
        <x:v>Year</x:v>
      </x:c>
      <x:c r="E1" s="10" t="str">
        <x:v>DOI</x:v>
      </x:c>
      <x:c r="F1" s="10" t="str">
        <x:v>URL</x:v>
      </x:c>
      <x:c r="G1" s="10" t="str">
        <x:v>Publication Type</x:v>
      </x:c>
      <x:c r="H1" s="10" t="str">
        <x:v>Venue</x:v>
      </x:c>
      <x:c r="I1" s="10" t="str">
        <x:v>Library Catalog</x:v>
      </x:c>
      <x:c r="J1" s="10" t="str">
        <x:v>Source Origin</x:v>
      </x:c>
      <x:c r="K1" s="10" t="str">
        <x:v>Raw Record Count</x:v>
      </x:c>
      <x:c r="L1" s="10" t="str">
        <x:v>Full Text Available</x:v>
      </x:c>
      <x:c r="M1" s="10" t="str">
        <x:v>Title/Abstract Decision</x:v>
      </x:c>
      <x:c r="N1" s="10" t="str">
        <x:v>Full Text Decision</x:v>
      </x:c>
      <x:c r="O1" s="10" t="str">
        <x:v>Exclusion Reason</x:v>
      </x:c>
      <x:c r="P1" s="10" t="str">
        <x:v>Final Inclusion</x:v>
      </x:c>
      <x:c r="Q1" s="10" t="str">
        <x:v>In Existing Evidence Matrix</x:v>
      </x:c>
      <x:c r="R1" s="10" t="str">
        <x:v>Evidence Location</x:v>
      </x:c>
      <x:c r="S1" s="10" t="str">
        <x:v>Reviewer Notes</x:v>
      </x:c>
    </x:row>
    <x:row r="2">
      <x:c r="A2" s="14" t="str">
        <x:v>S001</x:v>
      </x:c>
      <x:c r="B2" s="14" t="str">
        <x:v>Cyberattacks and Countermeasures for In-Vehicle Networks</x:v>
      </x:c>
      <x:c r="C2" s="14" t="str">
        <x:v>Emad Aliwa; Omer Rana; Charith Perera; Peter Burnap</x:v>
      </x:c>
      <x:c r="D2" s="15" t="n">
        <x:v>2021</x:v>
      </x:c>
      <x:c r="E2" s="14" t="str">
        <x:v>10.1145/3431233</x:v>
      </x:c>
      <x:c r="F2" s="14" t="str">
        <x:v>https://dl.acm.org/doi/10.1145/3431233</x:v>
      </x:c>
      <x:c r="G2" s="14" t="str">
        <x:v>journalArticle</x:v>
      </x:c>
      <x:c r="H2" s="14" t="str">
        <x:v>ACM Computing Surveys (CSUR)</x:v>
      </x:c>
      <x:c r="I2" s="14" t="str">
        <x:v>ACM Digital Library</x:v>
      </x:c>
      <x:c r="J2" s="14" t="str">
        <x:v>Zotero collection</x:v>
      </x:c>
      <x:c r="K2" s="15" t="n">
        <x:v>2</x:v>
      </x:c>
      <x:c r="L2" s="14" t="str">
        <x:v>Unknown</x:v>
      </x:c>
      <x:c r="M2" s="14" t="str">
        <x:v>Pending</x:v>
      </x:c>
      <x:c r="N2" s="14" t="str">
        <x:v>Pending</x:v>
      </x:c>
      <x:c r="O2" s="14" t="str"/>
      <x:c r="P2" s="14" t="str">
        <x:v>Pending</x:v>
      </x:c>
      <x:c r="Q2" s="14" t="str">
        <x:v>No</x:v>
      </x:c>
      <x:c r="R2" s="14" t="str"/>
      <x:c r="S2" s="14" t="str"/>
    </x:row>
    <x:row r="3">
      <x:c r="A3" s="14" t="str">
        <x:v>S002</x:v>
      </x:c>
      <x:c r="B3" s="14" t="str">
        <x:v>A Comprehensive Performance Comparison of Machine Learning and Federated Learning for Intrusion Detection in Vehicular Ad-Hoc Networks Using CAN-Bus Data</x:v>
      </x:c>
      <x:c r="C3" s="14" t="str">
        <x:v>Tim Leonhardt</x:v>
      </x:c>
      <x:c r="D3" s="15" t="str"/>
      <x:c r="E3" s="14" t="str"/>
      <x:c r="F3" s="14" t="str"/>
      <x:c r="G3" s="14" t="str">
        <x:v>journalArticle</x:v>
      </x:c>
      <x:c r="H3" s="14" t="str"/>
      <x:c r="I3" s="14" t="str">
        <x:v>Zotero</x:v>
      </x:c>
      <x:c r="J3" s="14" t="str">
        <x:v>Zotero collection</x:v>
      </x:c>
      <x:c r="K3" s="15" t="n">
        <x:v>1</x:v>
      </x:c>
      <x:c r="L3" s="14" t="str">
        <x:v>Unknown</x:v>
      </x:c>
      <x:c r="M3" s="14" t="str">
        <x:v>Pending</x:v>
      </x:c>
      <x:c r="N3" s="14" t="str">
        <x:v>Pending</x:v>
      </x:c>
      <x:c r="O3" s="14" t="str"/>
      <x:c r="P3" s="14" t="str">
        <x:v>Pending</x:v>
      </x:c>
      <x:c r="Q3" s="14" t="str">
        <x:v>No</x:v>
      </x:c>
      <x:c r="R3" s="14" t="str"/>
      <x:c r="S3" s="14" t="str"/>
    </x:row>
    <x:row r="4">
      <x:c r="A4" s="14" t="str">
        <x:v>S003</x:v>
      </x:c>
      <x:c r="B4" s="14" t="str">
        <x:v>Securing automotive networks from dos and fuzzy attacks with optimized lstm models</x:v>
      </x:c>
      <x:c r="C4" s="14" t="str">
        <x:v>W. B. Dennyson; C. Jothikumar</x:v>
      </x:c>
      <x:c r="D4" s="15" t="n">
        <x:v>2025</x:v>
      </x:c>
      <x:c r="E4" s="14" t="str">
        <x:v>10.1007/s44196-025-00782-y</x:v>
      </x:c>
      <x:c r="F4" s="14" t="str">
        <x:v>https://link.springer.com/article/10.1007/s44196-025-00782-y</x:v>
      </x:c>
      <x:c r="G4" s="14" t="str">
        <x:v>journalArticle</x:v>
      </x:c>
      <x:c r="H4" s="14" t="str"/>
      <x:c r="I4" s="14" t="str"/>
      <x:c r="J4" s="14" t="str">
        <x:v>Zotero collection</x:v>
      </x:c>
      <x:c r="K4" s="15" t="n">
        <x:v>1</x:v>
      </x:c>
      <x:c r="L4" s="14" t="str">
        <x:v>Unknown</x:v>
      </x:c>
      <x:c r="M4" s="14" t="str">
        <x:v>Pending</x:v>
      </x:c>
      <x:c r="N4" s="14" t="str">
        <x:v>Pending</x:v>
      </x:c>
      <x:c r="O4" s="14" t="str"/>
      <x:c r="P4" s="14" t="str">
        <x:v>Pending</x:v>
      </x:c>
      <x:c r="Q4" s="14" t="str">
        <x:v>No</x:v>
      </x:c>
      <x:c r="R4" s="14" t="str"/>
      <x:c r="S4" s="14" t="str"/>
    </x:row>
    <x:row r="5">
      <x:c r="A5" s="14" t="str">
        <x:v>S004</x:v>
      </x:c>
      <x:c r="B5" s="14" t="str">
        <x:v>Multiple Observation HMM-Based CAN Bus Intrusion Detection System for In-Vehicle Network</x:v>
      </x:c>
      <x:c r="C5" s="14" t="str">
        <x:v>Chen Dong, Hao Wu, Qingyuan Li</x:v>
      </x:c>
      <x:c r="D5" s="15" t="n">
        <x:v>2023</x:v>
      </x:c>
      <x:c r="E5" s="14" t="str">
        <x:v>10.1109/access.2023.3265018</x:v>
      </x:c>
      <x:c r="F5" s="14" t="str">
        <x:v>https://ieeexplore.ieee.org/iel7/6287639/10005208/10093873.pdf (DOI: 10.1109/ACCESS.2023.3265018)</x:v>
      </x:c>
      <x:c r="G5" s="14" t="str">
        <x:v>Journal article (IEEE Access)</x:v>
      </x:c>
      <x:c r="H5" s="14" t="str"/>
      <x:c r="I5" s="14" t="str"/>
      <x:c r="J5" s="14" t="str">
        <x:v>Existing evidence matrix; Zotero collection</x:v>
      </x:c>
      <x:c r="K5" s="15" t="n">
        <x:v>2</x:v>
      </x:c>
      <x:c r="L5" s="14" t="str">
        <x:v>Yes</x:v>
      </x:c>
      <x:c r="M5" s="14" t="str">
        <x:v>Include</x:v>
      </x:c>
      <x:c r="N5" s="14" t="str">
        <x:v>Include</x:v>
      </x:c>
      <x:c r="O5" s="14" t="str">
        <x:v>Already retained in the 15-study evidence matrix</x:v>
      </x:c>
      <x:c r="P5" s="14" t="str">
        <x:v>Include</x:v>
      </x:c>
      <x:c r="Q5" s="14" t="str">
        <x:v>Yes</x:v>
      </x:c>
      <x:c r="R5" s="14" t="str">
        <x:v>Feuil2!10</x:v>
      </x:c>
      <x:c r="S5" s="14" t="str"/>
    </x:row>
    <x:row r="6">
      <x:c r="A6" s="14" t="str">
        <x:v>S005</x:v>
      </x:c>
      <x:c r="B6" s="14" t="str">
        <x:v>AI-Driven Intrusion Detection Systems (IDS) on the ROAD Dataset: A Comparative Analysis for Automotive Controller Area Network (CAN)</x:v>
      </x:c>
      <x:c r="C6" s="14" t="str">
        <x:v>Lorenzo Guerra, Linhan Xu, Paolo Bellavista, Thomas Chapuis, Guillaume Duc, Pavlo Mozharovskyi, Van-Tam Nguyen</x:v>
      </x:c>
      <x:c r="D6" s="15" t="n">
        <x:v>2024</x:v>
      </x:c>
      <x:c r="E6" s="14" t="str">
        <x:v>10.1145/3689936.3694696</x:v>
      </x:c>
      <x:c r="F6" s="14" t="str">
        <x:v>https://dl.acm.org/doi/abs/10.1145/3689936.3694696</x:v>
      </x:c>
      <x:c r="G6" s="14" t="str">
        <x:v>Conference paper (ACM CSCS '24 — Cyber Security in CarS Workshop)</x:v>
      </x:c>
      <x:c r="H6" s="14" t="str"/>
      <x:c r="I6" s="14" t="str"/>
      <x:c r="J6" s="14" t="str">
        <x:v>Existing evidence matrix; Zotero collection</x:v>
      </x:c>
      <x:c r="K6" s="15" t="n">
        <x:v>3</x:v>
      </x:c>
      <x:c r="L6" s="14" t="str">
        <x:v>Yes</x:v>
      </x:c>
      <x:c r="M6" s="14" t="str">
        <x:v>Include</x:v>
      </x:c>
      <x:c r="N6" s="14" t="str">
        <x:v>Include</x:v>
      </x:c>
      <x:c r="O6" s="14" t="str">
        <x:v>Already retained in the 15-study evidence matrix</x:v>
      </x:c>
      <x:c r="P6" s="14" t="str">
        <x:v>Include</x:v>
      </x:c>
      <x:c r="Q6" s="14" t="str">
        <x:v>Yes</x:v>
      </x:c>
      <x:c r="R6" s="14" t="str">
        <x:v>Feuil2!7</x:v>
      </x:c>
      <x:c r="S6" s="14" t="str"/>
    </x:row>
    <x:row r="7">
      <x:c r="A7" s="14" t="str">
        <x:v>S006</x:v>
      </x:c>
      <x:c r="B7" s="14" t="str">
        <x:v>In-vehicle communication cyber security: challenges and solutions</x:v>
      </x:c>
      <x:c r="C7" s="14" t="str">
        <x:v>R. S. Rathore; C. Hewage; O. Kaiwartya; J. Lloret</x:v>
      </x:c>
      <x:c r="D7" s="15" t="n">
        <x:v>2022</x:v>
      </x:c>
      <x:c r="E7" s="14" t="str"/>
      <x:c r="F7" s="14" t="str">
        <x:v>https://www.mdpi.com/1424-8220/22/17/6679</x:v>
      </x:c>
      <x:c r="G7" s="14" t="str">
        <x:v>journalArticle</x:v>
      </x:c>
      <x:c r="H7" s="14" t="str"/>
      <x:c r="I7" s="14" t="str"/>
      <x:c r="J7" s="14" t="str">
        <x:v>Zotero collection</x:v>
      </x:c>
      <x:c r="K7" s="15" t="n">
        <x:v>1</x:v>
      </x:c>
      <x:c r="L7" s="14" t="str">
        <x:v>Unknown</x:v>
      </x:c>
      <x:c r="M7" s="14" t="str">
        <x:v>Pending</x:v>
      </x:c>
      <x:c r="N7" s="14" t="str">
        <x:v>Pending</x:v>
      </x:c>
      <x:c r="O7" s="14" t="str"/>
      <x:c r="P7" s="14" t="str">
        <x:v>Pending</x:v>
      </x:c>
      <x:c r="Q7" s="14" t="str">
        <x:v>No</x:v>
      </x:c>
      <x:c r="R7" s="14" t="str"/>
      <x:c r="S7" s="14" t="str"/>
    </x:row>
    <x:row r="8">
      <x:c r="A8" s="14" t="str">
        <x:v>S007</x:v>
      </x:c>
      <x:c r="B8" s="14" t="str">
        <x:v>Analysis of cyber security attacks and its solutions for the smart grid using machine learning and blockchain methods</x:v>
      </x:c>
      <x:c r="C8" s="14" t="str">
        <x:v>T. Mazhar; H. M. Irfan; S. Khan; I. Haq; I. Ullah; M. Iqbal; ...</x:v>
      </x:c>
      <x:c r="D8" s="15" t="n">
        <x:v>2023</x:v>
      </x:c>
      <x:c r="E8" s="14" t="str"/>
      <x:c r="F8" s="14" t="str">
        <x:v>https://www.mdpi.com/1999-5903/15/2/83</x:v>
      </x:c>
      <x:c r="G8" s="14" t="str">
        <x:v>journalArticle</x:v>
      </x:c>
      <x:c r="H8" s="14" t="str"/>
      <x:c r="I8" s="14" t="str"/>
      <x:c r="J8" s="14" t="str">
        <x:v>Zotero collection</x:v>
      </x:c>
      <x:c r="K8" s="15" t="n">
        <x:v>1</x:v>
      </x:c>
      <x:c r="L8" s="14" t="str">
        <x:v>Unknown</x:v>
      </x:c>
      <x:c r="M8" s="14" t="str">
        <x:v>Pending</x:v>
      </x:c>
      <x:c r="N8" s="14" t="str">
        <x:v>Pending</x:v>
      </x:c>
      <x:c r="O8" s="14" t="str"/>
      <x:c r="P8" s="14" t="str">
        <x:v>Pending</x:v>
      </x:c>
      <x:c r="Q8" s="14" t="str">
        <x:v>No</x:v>
      </x:c>
      <x:c r="R8" s="14" t="str"/>
      <x:c r="S8" s="14" t="str"/>
    </x:row>
    <x:row r="9">
      <x:c r="A9" s="14" t="str">
        <x:v>S008</x:v>
      </x:c>
      <x:c r="B9" s="14" t="str">
        <x:v>Detecting In-Vehicle Intrusion via Semi-Supervised Learning-Based Convolutional Adversarial Autoencoders</x:v>
      </x:c>
      <x:c r="C9" s="14" t="str">
        <x:v>Thien-Nu Hoang, Daehee Kim</x:v>
      </x:c>
      <x:c r="D9" s="15" t="n">
        <x:v>2022</x:v>
      </x:c>
      <x:c r="E9" s="14" t="str">
        <x:v>10.1016/j.vehcom.2022.100520</x:v>
      </x:c>
      <x:c r="F9" s="14" t="str">
        <x:v>https://doi.org/10.1016/j.vehcom.2022.100520</x:v>
      </x:c>
      <x:c r="G9" s="14" t="str">
        <x:v>Journal article (Vehicular Communications); originally circulated as an arXiv preprint</x:v>
      </x:c>
      <x:c r="H9" s="14" t="str"/>
      <x:c r="I9" s="14" t="str"/>
      <x:c r="J9" s="14" t="str">
        <x:v>Existing evidence matrix; Zotero collection</x:v>
      </x:c>
      <x:c r="K9" s="15" t="n">
        <x:v>2</x:v>
      </x:c>
      <x:c r="L9" s="14" t="str">
        <x:v>Yes</x:v>
      </x:c>
      <x:c r="M9" s="14" t="str">
        <x:v>Include</x:v>
      </x:c>
      <x:c r="N9" s="14" t="str">
        <x:v>Include</x:v>
      </x:c>
      <x:c r="O9" s="14" t="str">
        <x:v>Already retained in the 15-study evidence matrix</x:v>
      </x:c>
      <x:c r="P9" s="14" t="str">
        <x:v>Include</x:v>
      </x:c>
      <x:c r="Q9" s="14" t="str">
        <x:v>Yes</x:v>
      </x:c>
      <x:c r="R9" s="14" t="str">
        <x:v>Feuil2!9</x:v>
      </x:c>
      <x:c r="S9" s="14" t="str"/>
    </x:row>
    <x:row r="10">
      <x:c r="A10" s="14" t="str">
        <x:v>S009</x:v>
      </x:c>
      <x:c r="B10" s="14" t="str">
        <x:v>A robust multi-stage intrusion detection system for in-vehicle network security using hierarchical federated learning</x:v>
      </x:c>
      <x:c r="C10" s="14" t="str">
        <x:v>M. Althunayyan</x:v>
      </x:c>
      <x:c r="D10" s="15" t="n">
        <x:v>2024</x:v>
      </x:c>
      <x:c r="E10" s="14" t="str"/>
      <x:c r="F10" s="14" t="str">
        <x:v>https://www.scopus.com/inward/record.uri?partnerID=HzOxMe3b\&amp;scp=85202843899\&amp;origin=inward</x:v>
      </x:c>
      <x:c r="G10" s="14" t="str">
        <x:v>journalArticle</x:v>
      </x:c>
      <x:c r="H10" s="14" t="str"/>
      <x:c r="I10" s="14" t="str"/>
      <x:c r="J10" s="14" t="str">
        <x:v>Zotero collection</x:v>
      </x:c>
      <x:c r="K10" s="15" t="n">
        <x:v>1</x:v>
      </x:c>
      <x:c r="L10" s="14" t="str">
        <x:v>Unknown</x:v>
      </x:c>
      <x:c r="M10" s="14" t="str">
        <x:v>Pending</x:v>
      </x:c>
      <x:c r="N10" s="14" t="str">
        <x:v>Pending</x:v>
      </x:c>
      <x:c r="O10" s="14" t="str"/>
      <x:c r="P10" s="14" t="str">
        <x:v>Pending</x:v>
      </x:c>
      <x:c r="Q10" s="14" t="str">
        <x:v>No</x:v>
      </x:c>
      <x:c r="R10" s="14" t="str"/>
      <x:c r="S10" s="14" t="str"/>
    </x:row>
    <x:row r="11">
      <x:c r="A11" s="14" t="str">
        <x:v>S010</x:v>
      </x:c>
      <x:c r="B11" s="14" t="str">
        <x:v>A novel intrusion detection model for the CAN bus packet of in-vehicle network based on attention mechanism and autoencoder</x:v>
      </x:c>
      <x:c r="C11" s="14" t="str">
        <x:v>P. Wei</x:v>
      </x:c>
      <x:c r="D11" s="15" t="n">
        <x:v>2023</x:v>
      </x:c>
      <x:c r="E11" s="14" t="str"/>
      <x:c r="F11" s="14" t="str">
        <x:v>https://www.scopus.com/inward/record.uri?partnerID=HzOxMe3b\&amp;scp=85145001747\&amp;origin=inward</x:v>
      </x:c>
      <x:c r="G11" s="14" t="str">
        <x:v>journalArticle</x:v>
      </x:c>
      <x:c r="H11" s="14" t="str">
        <x:v>Digital Communications and Networks</x:v>
      </x:c>
      <x:c r="I11" s="14" t="str"/>
      <x:c r="J11" s="14" t="str">
        <x:v>Zotero collection</x:v>
      </x:c>
      <x:c r="K11" s="15" t="n">
        <x:v>1</x:v>
      </x:c>
      <x:c r="L11" s="14" t="str">
        <x:v>Unknown</x:v>
      </x:c>
      <x:c r="M11" s="14" t="str">
        <x:v>Pending</x:v>
      </x:c>
      <x:c r="N11" s="14" t="str">
        <x:v>Pending</x:v>
      </x:c>
      <x:c r="O11" s="14" t="str"/>
      <x:c r="P11" s="14" t="str">
        <x:v>Pending</x:v>
      </x:c>
      <x:c r="Q11" s="14" t="str">
        <x:v>No</x:v>
      </x:c>
      <x:c r="R11" s="14" t="str"/>
      <x:c r="S11" s="14" t="str"/>
    </x:row>
    <x:row r="12">
      <x:c r="A12" s="14" t="str">
        <x:v>S011</x:v>
      </x:c>
      <x:c r="B12" s="14" t="str">
        <x:v>Multi-attack and multi-classification intrusion detection for vehicle-mounted networks based on mosaic-coded convolutional neural network</x:v>
      </x:c>
      <x:c r="C12" s="14" t="str">
        <x:v>R. Hu</x:v>
      </x:c>
      <x:c r="D12" s="15" t="n">
        <x:v>2022</x:v>
      </x:c>
      <x:c r="E12" s="14" t="str"/>
      <x:c r="F12" s="14" t="str">
        <x:v>https://www.scopus.com/inward/record.uri?partnerID=HzOxMe3b\&amp;scp=85128434964\&amp;origin=inward</x:v>
      </x:c>
      <x:c r="G12" s="14" t="str">
        <x:v>journalArticle</x:v>
      </x:c>
      <x:c r="H12" s="14" t="str">
        <x:v>Scientific Reports</x:v>
      </x:c>
      <x:c r="I12" s="14" t="str"/>
      <x:c r="J12" s="14" t="str">
        <x:v>Zotero collection</x:v>
      </x:c>
      <x:c r="K12" s="15" t="n">
        <x:v>1</x:v>
      </x:c>
      <x:c r="L12" s="14" t="str">
        <x:v>Unknown</x:v>
      </x:c>
      <x:c r="M12" s="14" t="str">
        <x:v>Pending</x:v>
      </x:c>
      <x:c r="N12" s="14" t="str">
        <x:v>Pending</x:v>
      </x:c>
      <x:c r="O12" s="14" t="str"/>
      <x:c r="P12" s="14" t="str">
        <x:v>Pending</x:v>
      </x:c>
      <x:c r="Q12" s="14" t="str">
        <x:v>No</x:v>
      </x:c>
      <x:c r="R12" s="14" t="str"/>
      <x:c r="S12" s="14" t="str"/>
    </x:row>
    <x:row r="13">
      <x:c r="A13" s="14" t="str">
        <x:v>S012</x:v>
      </x:c>
      <x:c r="B13" s="14" t="str">
        <x:v>Beyond Vanilla: Improved Autoencoder-Based Ensemble In-Vehicle Intrusion Detection System</x:v>
      </x:c>
      <x:c r="C13" s="14" t="str">
        <x:v>Sampath Rajapaksha, Harsha Kalutarage, M. Omar Al-Kadri, Andrei Petrovski, Garikayi Madzudzo</x:v>
      </x:c>
      <x:c r="D13" s="15" t="n">
        <x:v>2023</x:v>
      </x:c>
      <x:c r="E13" s="14" t="str">
        <x:v>10.1016/j.jisa.2023.103570</x:v>
      </x:c>
      <x:c r="F13" s="14" t="str">
        <x:v>https://doi.org/10.1016/j.jisa.2023.103570</x:v>
      </x:c>
      <x:c r="G13" s="14" t="str">
        <x:v>Journal article (Journal of Information Security and Applications)</x:v>
      </x:c>
      <x:c r="H13" s="14" t="str"/>
      <x:c r="I13" s="14" t="str"/>
      <x:c r="J13" s="14" t="str">
        <x:v>Existing evidence matrix; Zotero collection</x:v>
      </x:c>
      <x:c r="K13" s="15" t="n">
        <x:v>2</x:v>
      </x:c>
      <x:c r="L13" s="14" t="str">
        <x:v>Yes</x:v>
      </x:c>
      <x:c r="M13" s="14" t="str">
        <x:v>Include</x:v>
      </x:c>
      <x:c r="N13" s="14" t="str">
        <x:v>Include</x:v>
      </x:c>
      <x:c r="O13" s="14" t="str">
        <x:v>Already retained in the 15-study evidence matrix</x:v>
      </x:c>
      <x:c r="P13" s="14" t="str">
        <x:v>Include</x:v>
      </x:c>
      <x:c r="Q13" s="14" t="str">
        <x:v>Yes</x:v>
      </x:c>
      <x:c r="R13" s="14" t="str">
        <x:v>Feuil2!8</x:v>
      </x:c>
      <x:c r="S13" s="14" t="str"/>
    </x:row>
    <x:row r="14">
      <x:c r="A14" s="14" t="str">
        <x:v>S013</x:v>
      </x:c>
      <x:c r="B14" s="14" t="str">
        <x:v>Intrusion Detection for Internet of Vehicles CAN Bus Communications Using Machine Learning: An Empirical Study on the CICIoV2024 Dataset | MDPI</x:v>
      </x:c>
      <x:c r="C14" s="14" t="str"/>
      <x:c r="D14" s="15" t="str"/>
      <x:c r="E14" s="14" t="str"/>
      <x:c r="F14" s="14" t="str">
        <x:v>https://www.mdpi.com/1999-5903/18/1/42</x:v>
      </x:c>
      <x:c r="G14" s="14" t="str">
        <x:v>webpage</x:v>
      </x:c>
      <x:c r="H14" s="14" t="str"/>
      <x:c r="I14" s="14" t="str"/>
      <x:c r="J14" s="14" t="str">
        <x:v>Zotero collection</x:v>
      </x:c>
      <x:c r="K14" s="15" t="n">
        <x:v>1</x:v>
      </x:c>
      <x:c r="L14" s="14" t="str">
        <x:v>Unknown</x:v>
      </x:c>
      <x:c r="M14" s="14" t="str">
        <x:v>Pending</x:v>
      </x:c>
      <x:c r="N14" s="14" t="str">
        <x:v>Pending</x:v>
      </x:c>
      <x:c r="O14" s="14" t="str"/>
      <x:c r="P14" s="14" t="str">
        <x:v>Pending</x:v>
      </x:c>
      <x:c r="Q14" s="14" t="str">
        <x:v>No</x:v>
      </x:c>
      <x:c r="R14" s="14" t="str"/>
      <x:c r="S14" s="14" t="str"/>
    </x:row>
    <x:row r="15">
      <x:c r="A15" s="14" t="str">
        <x:v>S014</x:v>
      </x:c>
      <x:c r="B15" s="14" t="str">
        <x:v>Machine Learning Based Intrusion Detection Framework for CAN Bus Vulnerabilities in Modern Vehicles - ProQuest</x:v>
      </x:c>
      <x:c r="C15" s="14" t="str"/>
      <x:c r="D15" s="15" t="str"/>
      <x:c r="E15" s="14" t="str"/>
      <x:c r="F15" s="14" t="str">
        <x:v>https://www.proquest.com/openview/cf69c717b827e85bb2d1dc3d03d8ab5f/1?pq-origsite=gscholar\&amp;cbl=18750\&amp;diss=y</x:v>
      </x:c>
      <x:c r="G15" s="14" t="str">
        <x:v>webpage</x:v>
      </x:c>
      <x:c r="H15" s="14" t="str"/>
      <x:c r="I15" s="14" t="str"/>
      <x:c r="J15" s="14" t="str">
        <x:v>Zotero collection</x:v>
      </x:c>
      <x:c r="K15" s="15" t="n">
        <x:v>1</x:v>
      </x:c>
      <x:c r="L15" s="14" t="str">
        <x:v>Unknown</x:v>
      </x:c>
      <x:c r="M15" s="14" t="str">
        <x:v>Pending</x:v>
      </x:c>
      <x:c r="N15" s="14" t="str">
        <x:v>Pending</x:v>
      </x:c>
      <x:c r="O15" s="14" t="str"/>
      <x:c r="P15" s="14" t="str">
        <x:v>Pending</x:v>
      </x:c>
      <x:c r="Q15" s="14" t="str">
        <x:v>No</x:v>
      </x:c>
      <x:c r="R15" s="14" t="str"/>
      <x:c r="S15" s="14" t="str"/>
    </x:row>
    <x:row r="16">
      <x:c r="A16" s="14" t="str">
        <x:v>S015</x:v>
      </x:c>
      <x:c r="B16" s="14" t="str">
        <x:v>Machine learning and blockchain technologies for cybersecurity in connected vehicles - Ahmad - 2024 - WIREs Data Mining and Knowledge Discovery - Wiley Online Library</x:v>
      </x:c>
      <x:c r="C16" s="14" t="str"/>
      <x:c r="D16" s="15" t="str"/>
      <x:c r="E16" s="14" t="str">
        <x:v>10.1002/widm.1515</x:v>
      </x:c>
      <x:c r="F16" s="14" t="str">
        <x:v>https://wires.onlinelibrary.wiley.com/doi/10.1002/widm.1515</x:v>
      </x:c>
      <x:c r="G16" s="14" t="str">
        <x:v>webpage</x:v>
      </x:c>
      <x:c r="H16" s="14" t="str"/>
      <x:c r="I16" s="14" t="str"/>
      <x:c r="J16" s="14" t="str">
        <x:v>Zotero collection</x:v>
      </x:c>
      <x:c r="K16" s="15" t="n">
        <x:v>1</x:v>
      </x:c>
      <x:c r="L16" s="14" t="str">
        <x:v>Unknown</x:v>
      </x:c>
      <x:c r="M16" s="14" t="str">
        <x:v>Pending</x:v>
      </x:c>
      <x:c r="N16" s="14" t="str">
        <x:v>Pending</x:v>
      </x:c>
      <x:c r="O16" s="14" t="str"/>
      <x:c r="P16" s="14" t="str">
        <x:v>Pending</x:v>
      </x:c>
      <x:c r="Q16" s="14" t="str">
        <x:v>No</x:v>
      </x:c>
      <x:c r="R16" s="14" t="str"/>
      <x:c r="S16" s="14" t="str"/>
    </x:row>
    <x:row r="17">
      <x:c r="A17" s="14" t="str">
        <x:v>S016</x:v>
      </x:c>
      <x:c r="B17" s="14" t="str">
        <x:v>Semantic Scholar | AI-Powered Research Tool</x:v>
      </x:c>
      <x:c r="C17" s="14" t="str"/>
      <x:c r="D17" s="15" t="str"/>
      <x:c r="E17" s="14" t="str"/>
      <x:c r="F17" s="14" t="str">
        <x:v>https://www.semanticscholar.org/</x:v>
      </x:c>
      <x:c r="G17" s="14" t="str">
        <x:v>webpage</x:v>
      </x:c>
      <x:c r="H17" s="14" t="str"/>
      <x:c r="I17" s="14" t="str"/>
      <x:c r="J17" s="14" t="str">
        <x:v>Zotero collection</x:v>
      </x:c>
      <x:c r="K17" s="15" t="n">
        <x:v>1</x:v>
      </x:c>
      <x:c r="L17" s="14" t="str">
        <x:v>Unknown</x:v>
      </x:c>
      <x:c r="M17" s="14" t="str">
        <x:v>Exclude</x:v>
      </x:c>
      <x:c r="N17" s="14" t="str">
        <x:v>Pending</x:v>
      </x:c>
      <x:c r="O17" s="14" t="str">
        <x:v>Non-publication search/navigation webpage</x:v>
      </x:c>
      <x:c r="P17" s="14" t="str">
        <x:v>Exclude</x:v>
      </x:c>
      <x:c r="Q17" s="14" t="str">
        <x:v>No</x:v>
      </x:c>
      <x:c r="R17" s="14" t="str"/>
      <x:c r="S17" s="14" t="str"/>
    </x:row>
    <x:row r="18">
      <x:c r="A18" s="14" t="str">
        <x:v>S017</x:v>
      </x:c>
      <x:c r="B18" s="14" t="str">
        <x:v>V2C: A Trust-Based Vehicle to Cloud Anomaly Detection Framework for Automotive Systems | Proceedings of the 16th International Conference on Availability, Reliability and Security</x:v>
      </x:c>
      <x:c r="C18" s="14" t="str"/>
      <x:c r="D18" s="15" t="str"/>
      <x:c r="E18" s="14" t="str">
        <x:v>10.1145/3465481.3465750</x:v>
      </x:c>
      <x:c r="F18" s="14" t="str">
        <x:v>https://dl.acm.org/doi/abs/10.1145/3465481.3465750</x:v>
      </x:c>
      <x:c r="G18" s="14" t="str">
        <x:v>webpage</x:v>
      </x:c>
      <x:c r="H18" s="14" t="str"/>
      <x:c r="I18" s="14" t="str"/>
      <x:c r="J18" s="14" t="str">
        <x:v>Zotero collection</x:v>
      </x:c>
      <x:c r="K18" s="15" t="n">
        <x:v>1</x:v>
      </x:c>
      <x:c r="L18" s="14" t="str">
        <x:v>Unknown</x:v>
      </x:c>
      <x:c r="M18" s="14" t="str">
        <x:v>Pending</x:v>
      </x:c>
      <x:c r="N18" s="14" t="str">
        <x:v>Pending</x:v>
      </x:c>
      <x:c r="O18" s="14" t="str"/>
      <x:c r="P18" s="14" t="str">
        <x:v>Pending</x:v>
      </x:c>
      <x:c r="Q18" s="14" t="str">
        <x:v>No</x:v>
      </x:c>
      <x:c r="R18" s="14" t="str"/>
      <x:c r="S18" s="14" t="str"/>
    </x:row>
    <x:row r="19">
      <x:c r="A19" s="14" t="str">
        <x:v>S018</x:v>
      </x:c>
      <x:c r="B19" s="14" t="str">
        <x:v>Toward Generative AI-Based Intrusion Detection Systems for the Internet of Vehicles (IoV)</x:v>
      </x:c>
      <x:c r="C19" s="14" t="str">
        <x:v>Isra Mahmoudi; Djallel Eddine Boubiche; Samir Athmani; Homero Toral-Cruz; Freddy I. Chan-Puc</x:v>
      </x:c>
      <x:c r="D19" s="15" t="n">
        <x:v>2025</x:v>
      </x:c>
      <x:c r="E19" s="14" t="str"/>
      <x:c r="F19" s="14" t="str">
        <x:v>https://www.mdpi.com/1999-5903/17/7/310</x:v>
      </x:c>
      <x:c r="G19" s="14" t="str">
        <x:v>journalArticle</x:v>
      </x:c>
      <x:c r="H19" s="14" t="str">
        <x:v>Future Internet</x:v>
      </x:c>
      <x:c r="I19" s="14" t="str">
        <x:v>www.mdpi.com</x:v>
      </x:c>
      <x:c r="J19" s="14" t="str">
        <x:v>Zotero collection</x:v>
      </x:c>
      <x:c r="K19" s="15" t="n">
        <x:v>1</x:v>
      </x:c>
      <x:c r="L19" s="14" t="str">
        <x:v>Unknown</x:v>
      </x:c>
      <x:c r="M19" s="14" t="str">
        <x:v>Pending</x:v>
      </x:c>
      <x:c r="N19" s="14" t="str">
        <x:v>Pending</x:v>
      </x:c>
      <x:c r="O19" s="14" t="str"/>
      <x:c r="P19" s="14" t="str">
        <x:v>Pending</x:v>
      </x:c>
      <x:c r="Q19" s="14" t="str">
        <x:v>No</x:v>
      </x:c>
      <x:c r="R19" s="14" t="str"/>
      <x:c r="S19" s="14" t="str"/>
    </x:row>
    <x:row r="20">
      <x:c r="A20" s="14" t="str">
        <x:v>S019</x:v>
      </x:c>
      <x:c r="B20" s="14" t="str">
        <x:v>Agentic AI-Driven Cybersecurity for Cloud-Connected Automotive Systems</x:v>
      </x:c>
      <x:c r="C20" s="14" t="str">
        <x:v>Anand Polamarasetti; Viswaprakash Yammanur; Naresh Ravuri; Veera Venkata Ramana Murthy Bokka; Rahul Vadisetty; Klodian Dhoska; Evjola Spaho</x:v>
      </x:c>
      <x:c r="D20" s="15" t="n">
        <x:v>2026</x:v>
      </x:c>
      <x:c r="E20" s="14" t="str"/>
      <x:c r="F20" s="14" t="str"/>
      <x:c r="G20" s="14" t="str">
        <x:v>conferencePaper</x:v>
      </x:c>
      <x:c r="H20" s="14" t="str"/>
      <x:c r="I20" s="14" t="str">
        <x:v>Springer Link</x:v>
      </x:c>
      <x:c r="J20" s="14" t="str">
        <x:v>Zotero collection</x:v>
      </x:c>
      <x:c r="K20" s="15" t="n">
        <x:v>1</x:v>
      </x:c>
      <x:c r="L20" s="14" t="str">
        <x:v>Unknown</x:v>
      </x:c>
      <x:c r="M20" s="14" t="str">
        <x:v>Pending</x:v>
      </x:c>
      <x:c r="N20" s="14" t="str">
        <x:v>Pending</x:v>
      </x:c>
      <x:c r="O20" s="14" t="str"/>
      <x:c r="P20" s="14" t="str">
        <x:v>Pending</x:v>
      </x:c>
      <x:c r="Q20" s="14" t="str">
        <x:v>No</x:v>
      </x:c>
      <x:c r="R20" s="14" t="str"/>
      <x:c r="S20" s="14" t="str"/>
    </x:row>
    <x:row r="21">
      <x:c r="A21" s="14" t="str">
        <x:v>S020</x:v>
      </x:c>
      <x:c r="B21" s="14" t="str">
        <x:v>Perspective: A Novel Resilient Cybersecurity Management System for Connected and Automated Vehicles</x:v>
      </x:c>
      <x:c r="C21" s="14" t="str">
        <x:v>Haoran Guang; Yongling He; Bowen Zheng; Weifeng Gong; Yi Shi; Hao Wu; Yaoguang Cao; Shichun Yang; Hamid Reza Karimi</x:v>
      </x:c>
      <x:c r="D21" s="15" t="n">
        <x:v>2025</x:v>
      </x:c>
      <x:c r="E21" s="14" t="str">
        <x:v>10.1007/s42154-025-00355-x</x:v>
      </x:c>
      <x:c r="F21" s="14" t="str">
        <x:v>https://doi.org/10.1007/s42154-025-00355-x</x:v>
      </x:c>
      <x:c r="G21" s="14" t="str">
        <x:v>journalArticle</x:v>
      </x:c>
      <x:c r="H21" s="14" t="str">
        <x:v>Automotive Innovation</x:v>
      </x:c>
      <x:c r="I21" s="14" t="str">
        <x:v>Springer Link</x:v>
      </x:c>
      <x:c r="J21" s="14" t="str">
        <x:v>Zotero collection</x:v>
      </x:c>
      <x:c r="K21" s="15" t="n">
        <x:v>1</x:v>
      </x:c>
      <x:c r="L21" s="14" t="str">
        <x:v>Unknown</x:v>
      </x:c>
      <x:c r="M21" s="14" t="str">
        <x:v>Pending</x:v>
      </x:c>
      <x:c r="N21" s="14" t="str">
        <x:v>Pending</x:v>
      </x:c>
      <x:c r="O21" s="14" t="str"/>
      <x:c r="P21" s="14" t="str">
        <x:v>Pending</x:v>
      </x:c>
      <x:c r="Q21" s="14" t="str">
        <x:v>No</x:v>
      </x:c>
      <x:c r="R21" s="14" t="str"/>
      <x:c r="S21" s="14" t="str"/>
    </x:row>
    <x:row r="22">
      <x:c r="A22" s="14" t="str">
        <x:v>S021</x:v>
      </x:c>
      <x:c r="B22" s="14" t="str">
        <x:v>A reliable cyber-attack detection architecture for cyber-physical systems in SDN-enabled internet of vehicles</x:v>
      </x:c>
      <x:c r="C22" s="14" t="str">
        <x:v>Monire Norouzi; Zeynep Gürkaş-Aydın</x:v>
      </x:c>
      <x:c r="D22" s="15" t="n">
        <x:v>2026</x:v>
      </x:c>
      <x:c r="E22" s="14" t="str">
        <x:v>10.1007/s10586-025-05929-2</x:v>
      </x:c>
      <x:c r="F22" s="14" t="str">
        <x:v>https://doi.org/10.1007/s10586-025-05929-2</x:v>
      </x:c>
      <x:c r="G22" s="14" t="str">
        <x:v>journalArticle</x:v>
      </x:c>
      <x:c r="H22" s="14" t="str">
        <x:v>Cluster Computing</x:v>
      </x:c>
      <x:c r="I22" s="14" t="str">
        <x:v>Springer Link</x:v>
      </x:c>
      <x:c r="J22" s="14" t="str">
        <x:v>Zotero collection</x:v>
      </x:c>
      <x:c r="K22" s="15" t="n">
        <x:v>1</x:v>
      </x:c>
      <x:c r="L22" s="14" t="str">
        <x:v>Unknown</x:v>
      </x:c>
      <x:c r="M22" s="14" t="str">
        <x:v>Pending</x:v>
      </x:c>
      <x:c r="N22" s="14" t="str">
        <x:v>Pending</x:v>
      </x:c>
      <x:c r="O22" s="14" t="str"/>
      <x:c r="P22" s="14" t="str">
        <x:v>Pending</x:v>
      </x:c>
      <x:c r="Q22" s="14" t="str">
        <x:v>No</x:v>
      </x:c>
      <x:c r="R22" s="14" t="str"/>
      <x:c r="S22" s="14" t="str"/>
    </x:row>
    <x:row r="23">
      <x:c r="A23" s="14" t="str">
        <x:v>S022</x:v>
      </x:c>
      <x:c r="B23" s="14" t="str">
        <x:v>Deep Transfer Learning Techniques in Intrusion Detection System-Internet of Vehicles: A State-of-the-Art Review</x:v>
      </x:c>
      <x:c r="C23" s="14" t="str">
        <x:v>Wufei Wu; Javad Hassannataj Joloudari; Senthil Kumar Jagatheesaperumal; Kandala N. V. P. S. Rajesh; Silvia Gaftandzhieva; Sadiq Hussain; Rahimullah Rabih; Najibullah Haqjoo; Mobeen Nazar; Hamed Vahdat-Nejad; Rositsa Doneva</x:v>
      </x:c>
      <x:c r="D23" s="15" t="n">
        <x:v>2024</x:v>
      </x:c>
      <x:c r="E23" s="14" t="str"/>
      <x:c r="F23" s="14" t="str">
        <x:v>https://www.techscience.com/cmc/v80n2/57633</x:v>
      </x:c>
      <x:c r="G23" s="14" t="str">
        <x:v>journalArticle</x:v>
      </x:c>
      <x:c r="H23" s="14" t="str">
        <x:v>Computers, Materials &amp; Continua</x:v>
      </x:c>
      <x:c r="I23" s="14" t="str">
        <x:v>DOI.org (Crossref)</x:v>
      </x:c>
      <x:c r="J23" s="14" t="str">
        <x:v>Zotero collection</x:v>
      </x:c>
      <x:c r="K23" s="15" t="n">
        <x:v>1</x:v>
      </x:c>
      <x:c r="L23" s="14" t="str">
        <x:v>Unknown</x:v>
      </x:c>
      <x:c r="M23" s="14" t="str">
        <x:v>Pending</x:v>
      </x:c>
      <x:c r="N23" s="14" t="str">
        <x:v>Pending</x:v>
      </x:c>
      <x:c r="O23" s="14" t="str"/>
      <x:c r="P23" s="14" t="str">
        <x:v>Pending</x:v>
      </x:c>
      <x:c r="Q23" s="14" t="str">
        <x:v>No</x:v>
      </x:c>
      <x:c r="R23" s="14" t="str"/>
      <x:c r="S23" s="14" t="str"/>
    </x:row>
    <x:row r="24">
      <x:c r="A24" s="14" t="str">
        <x:v>S023</x:v>
      </x:c>
      <x:c r="B24" s="14" t="str">
        <x:v>SAE Mobilus</x:v>
      </x:c>
      <x:c r="C24" s="14" t="str"/>
      <x:c r="D24" s="15" t="str"/>
      <x:c r="E24" s="14" t="str"/>
      <x:c r="F24" s="14" t="str">
        <x:v>https://saemobilus.sae.org/articles/cyber-security-challenges-v2c-vehicle-network-2024-28-0035</x:v>
      </x:c>
      <x:c r="G24" s="14" t="str">
        <x:v>webpage</x:v>
      </x:c>
      <x:c r="H24" s="14" t="str"/>
      <x:c r="I24" s="14" t="str"/>
      <x:c r="J24" s="14" t="str">
        <x:v>Zotero collection</x:v>
      </x:c>
      <x:c r="K24" s="15" t="n">
        <x:v>1</x:v>
      </x:c>
      <x:c r="L24" s="14" t="str">
        <x:v>Unknown</x:v>
      </x:c>
      <x:c r="M24" s="14" t="str">
        <x:v>Pending</x:v>
      </x:c>
      <x:c r="N24" s="14" t="str">
        <x:v>Pending</x:v>
      </x:c>
      <x:c r="O24" s="14" t="str"/>
      <x:c r="P24" s="14" t="str">
        <x:v>Pending</x:v>
      </x:c>
      <x:c r="Q24" s="14" t="str">
        <x:v>No</x:v>
      </x:c>
      <x:c r="R24" s="14" t="str"/>
      <x:c r="S24" s="14" t="str"/>
    </x:row>
    <x:row r="25">
      <x:c r="A25" s="14" t="str">
        <x:v>S024</x:v>
      </x:c>
      <x:c r="B25" s="14" t="str">
        <x:v>CLOUD-BASED REAL-TIME DATA ANALYTICS FOR AUTONOMOUS VEHICLES</x:v>
      </x:c>
      <x:c r="C25" s="14" t="str"/>
      <x:c r="D25" s="15" t="n">
        <x:v>2024</x:v>
      </x:c>
      <x:c r="E25" s="14" t="str"/>
      <x:c r="F25" s="14" t="str"/>
      <x:c r="G25" s="14" t="str">
        <x:v>journalArticle</x:v>
      </x:c>
      <x:c r="H25" s="14" t="str"/>
      <x:c r="I25" s="14" t="str">
        <x:v>ResearchGate</x:v>
      </x:c>
      <x:c r="J25" s="14" t="str">
        <x:v>Zotero collection</x:v>
      </x:c>
      <x:c r="K25" s="15" t="n">
        <x:v>1</x:v>
      </x:c>
      <x:c r="L25" s="14" t="str">
        <x:v>Unknown</x:v>
      </x:c>
      <x:c r="M25" s="14" t="str">
        <x:v>Pending</x:v>
      </x:c>
      <x:c r="N25" s="14" t="str">
        <x:v>Pending</x:v>
      </x:c>
      <x:c r="O25" s="14" t="str"/>
      <x:c r="P25" s="14" t="str">
        <x:v>Pending</x:v>
      </x:c>
      <x:c r="Q25" s="14" t="str">
        <x:v>No</x:v>
      </x:c>
      <x:c r="R25" s="14" t="str"/>
      <x:c r="S25" s="14" t="str"/>
    </x:row>
    <x:row r="26">
      <x:c r="A26" s="14" t="str">
        <x:v>S025</x:v>
      </x:c>
      <x:c r="B26" s="14" t="str">
        <x:v>Identify Sources and Risks on Cybersecurity for Connected Vehicle Infrastructures</x:v>
      </x:c>
      <x:c r="C26" s="14" t="str">
        <x:v>Pei Sung Lin; Achilleas Kourtellis; Sean Barbeau; Jay Ligatti; Xinming (Simon) Ou; Kevin Dennis; Xiaopeng (Shaw) Li; Zhaohui Liang</x:v>
      </x:c>
      <x:c r="D26" s="15" t="n">
        <x:v>2022</x:v>
      </x:c>
      <x:c r="E26" s="14" t="str"/>
      <x:c r="F26" s="14" t="str">
        <x:v>https://rosap.ntl.bts.gov</x:v>
      </x:c>
      <x:c r="G26" s="14" t="str">
        <x:v>webpage</x:v>
      </x:c>
      <x:c r="H26" s="14" t="str"/>
      <x:c r="I26" s="14" t="str"/>
      <x:c r="J26" s="14" t="str">
        <x:v>Zotero collection</x:v>
      </x:c>
      <x:c r="K26" s="15" t="n">
        <x:v>1</x:v>
      </x:c>
      <x:c r="L26" s="14" t="str">
        <x:v>Unknown</x:v>
      </x:c>
      <x:c r="M26" s="14" t="str">
        <x:v>Pending</x:v>
      </x:c>
      <x:c r="N26" s="14" t="str">
        <x:v>Pending</x:v>
      </x:c>
      <x:c r="O26" s="14" t="str"/>
      <x:c r="P26" s="14" t="str">
        <x:v>Pending</x:v>
      </x:c>
      <x:c r="Q26" s="14" t="str">
        <x:v>No</x:v>
      </x:c>
      <x:c r="R26" s="14" t="str"/>
      <x:c r="S26" s="14" t="str"/>
    </x:row>
    <x:row r="27">
      <x:c r="A27" s="14" t="str">
        <x:v>S026</x:v>
      </x:c>
      <x:c r="B27" s="14" t="str">
        <x:v>Hybrid Deep Learning Approach for Secure Electric Vehicle Communications in Smart Urban Mobility</x:v>
      </x:c>
      <x:c r="C27" s="14" t="str">
        <x:v>Abdullah Alsaleh</x:v>
      </x:c>
      <x:c r="D27" s="15" t="n">
        <x:v>2025</x:v>
      </x:c>
      <x:c r="E27" s="14" t="str"/>
      <x:c r="F27" s="14" t="str">
        <x:v>https://www.mdpi.com/2624-8921/7/4/112</x:v>
      </x:c>
      <x:c r="G27" s="14" t="str">
        <x:v>journalArticle</x:v>
      </x:c>
      <x:c r="H27" s="14" t="str">
        <x:v>Vehicles</x:v>
      </x:c>
      <x:c r="I27" s="14" t="str">
        <x:v>www.mdpi.com</x:v>
      </x:c>
      <x:c r="J27" s="14" t="str">
        <x:v>Zotero collection</x:v>
      </x:c>
      <x:c r="K27" s="15" t="n">
        <x:v>1</x:v>
      </x:c>
      <x:c r="L27" s="14" t="str">
        <x:v>Unknown</x:v>
      </x:c>
      <x:c r="M27" s="14" t="str">
        <x:v>Pending</x:v>
      </x:c>
      <x:c r="N27" s="14" t="str">
        <x:v>Pending</x:v>
      </x:c>
      <x:c r="O27" s="14" t="str"/>
      <x:c r="P27" s="14" t="str">
        <x:v>Pending</x:v>
      </x:c>
      <x:c r="Q27" s="14" t="str">
        <x:v>No</x:v>
      </x:c>
      <x:c r="R27" s="14" t="str"/>
      <x:c r="S27" s="14" t="str"/>
    </x:row>
    <x:row r="28">
      <x:c r="A28" s="14" t="str">
        <x:v>S027</x:v>
      </x:c>
      <x:c r="B28" s="14" t="str">
        <x:v>Detection of cyberattacks in in-vehicle networks using a hierarchical federated learning framework</x:v>
      </x:c>
      <x:c r="C28" s="14" t="str">
        <x:v>Muzun Althunayyan</x:v>
      </x:c>
      <x:c r="D28" s="15" t="n">
        <x:v>2025</x:v>
      </x:c>
      <x:c r="E28" s="14" t="str"/>
      <x:c r="F28" s="14" t="str">
        <x:v>https://orca.cardiff.ac.uk/id/eprint/185347/</x:v>
      </x:c>
      <x:c r="G28" s="14" t="str">
        <x:v>thesis</x:v>
      </x:c>
      <x:c r="H28" s="14" t="str"/>
      <x:c r="I28" s="14" t="str">
        <x:v>orca.cardiff.ac.uk</x:v>
      </x:c>
      <x:c r="J28" s="14" t="str">
        <x:v>Zotero collection</x:v>
      </x:c>
      <x:c r="K28" s="15" t="n">
        <x:v>1</x:v>
      </x:c>
      <x:c r="L28" s="14" t="str">
        <x:v>Unknown</x:v>
      </x:c>
      <x:c r="M28" s="14" t="str">
        <x:v>Pending</x:v>
      </x:c>
      <x:c r="N28" s="14" t="str">
        <x:v>Pending</x:v>
      </x:c>
      <x:c r="O28" s="14" t="str"/>
      <x:c r="P28" s="14" t="str">
        <x:v>Pending</x:v>
      </x:c>
      <x:c r="Q28" s="14" t="str">
        <x:v>No</x:v>
      </x:c>
      <x:c r="R28" s="14" t="str"/>
      <x:c r="S28" s="14" t="str"/>
    </x:row>
    <x:row r="29">
      <x:c r="A29" s="14" t="str">
        <x:v>S028</x:v>
      </x:c>
      <x:c r="B29" s="14" t="str">
        <x:v>Cybersecurity Vulnerabilities in Cloud-Assisted Autonomous Vehicle Routing: Backdoor Attacks on AI Super Networks for Route Manipulation</x:v>
      </x:c>
      <x:c r="C29" s="14" t="str">
        <x:v>James Carrington</x:v>
      </x:c>
      <x:c r="D29" s="15" t="n">
        <x:v>2025</x:v>
      </x:c>
      <x:c r="E29" s="14" t="str"/>
      <x:c r="F29" s="14" t="str">
        <x:v>https://papers.ssrn.com/abstract=6966101</x:v>
      </x:c>
      <x:c r="G29" s="14" t="str">
        <x:v>preprint</x:v>
      </x:c>
      <x:c r="H29" s="14" t="str"/>
      <x:c r="I29" s="14" t="str">
        <x:v>papers.ssrn.com</x:v>
      </x:c>
      <x:c r="J29" s="14" t="str">
        <x:v>Zotero collection</x:v>
      </x:c>
      <x:c r="K29" s="15" t="n">
        <x:v>1</x:v>
      </x:c>
      <x:c r="L29" s="14" t="str">
        <x:v>Unknown</x:v>
      </x:c>
      <x:c r="M29" s="14" t="str">
        <x:v>Pending</x:v>
      </x:c>
      <x:c r="N29" s="14" t="str">
        <x:v>Pending</x:v>
      </x:c>
      <x:c r="O29" s="14" t="str"/>
      <x:c r="P29" s="14" t="str">
        <x:v>Pending</x:v>
      </x:c>
      <x:c r="Q29" s="14" t="str">
        <x:v>No</x:v>
      </x:c>
      <x:c r="R29" s="14" t="str"/>
      <x:c r="S29" s="14" t="str"/>
    </x:row>
    <x:row r="30">
      <x:c r="A30" s="14" t="str">
        <x:v>S029</x:v>
      </x:c>
      <x:c r="B30" s="14" t="str">
        <x:v>Explainable Edge-Cloud Federated Intrusion Detection System for Electric Vehicles Using GRUs, DRL Selection, and Integrated Gradients</x:v>
      </x:c>
      <x:c r="C30" s="14" t="str">
        <x:v>Arash Heidari, Seyed Hamed Rastegar, Ahmad Khonsari</x:v>
      </x:c>
      <x:c r="D30" s="15" t="n">
        <x:v>2026</x:v>
      </x:c>
      <x:c r="E30" s="14" t="str">
        <x:v>10.1186/s40537-026-01505-6</x:v>
      </x:c>
      <x:c r="F30" s="14" t="str">
        <x:v>https://doi.org/10.1186/s40537-026-01505-6</x:v>
      </x:c>
      <x:c r="G30" s="14" t="str">
        <x:v>Journal article (Journal of Big Data, Springer) — Accepted manuscript / 'Article in Press' (accepted 12 July 2026, published online 12 Aug 2026).</x:v>
      </x:c>
      <x:c r="H30" s="14" t="str"/>
      <x:c r="I30" s="14" t="str"/>
      <x:c r="J30" s="14" t="str">
        <x:v>Existing evidence matrix; Zotero collection</x:v>
      </x:c>
      <x:c r="K30" s="15" t="n">
        <x:v>2</x:v>
      </x:c>
      <x:c r="L30" s="14" t="str">
        <x:v>Yes</x:v>
      </x:c>
      <x:c r="M30" s="14" t="str">
        <x:v>Include</x:v>
      </x:c>
      <x:c r="N30" s="14" t="str">
        <x:v>Include</x:v>
      </x:c>
      <x:c r="O30" s="14" t="str">
        <x:v>Already retained in the 15-study evidence matrix</x:v>
      </x:c>
      <x:c r="P30" s="14" t="str">
        <x:v>Include</x:v>
      </x:c>
      <x:c r="Q30" s="14" t="str">
        <x:v>Yes</x:v>
      </x:c>
      <x:c r="R30" s="14" t="str">
        <x:v>Feuil2!11</x:v>
      </x:c>
      <x:c r="S30" s="14" t="str"/>
    </x:row>
    <x:row r="31">
      <x:c r="A31" s="14" t="str">
        <x:v>S030</x:v>
      </x:c>
      <x:c r="B31" s="14" t="str">
        <x:v>MIDS: Detecting Stealthy Masquerade and Tampering Attacks on CAN Bus via Bidirectional Mamba</x:v>
      </x:c>
      <x:c r="C31" s="14" t="str">
        <x:v>Qiqi Liu, Runhan Song, Lei Cui, Heng Zhang, Yuyan Sun, Limin Sun</x:v>
      </x:c>
      <x:c r="D31" s="15" t="n">
        <x:v>2026</x:v>
      </x:c>
      <x:c r="E31" s="14" t="str"/>
      <x:c r="F31" s="14" t="str">
        <x:v>https://arxiv.org/abs/2606.18599</x:v>
      </x:c>
      <x:c r="G31" s="14" t="str">
        <x:v>arXiv preprint (cs.AI)</x:v>
      </x:c>
      <x:c r="H31" s="14" t="str"/>
      <x:c r="I31" s="14" t="str"/>
      <x:c r="J31" s="14" t="str">
        <x:v>Existing evidence matrix; Zotero collection</x:v>
      </x:c>
      <x:c r="K31" s="15" t="n">
        <x:v>2</x:v>
      </x:c>
      <x:c r="L31" s="14" t="str">
        <x:v>Yes</x:v>
      </x:c>
      <x:c r="M31" s="14" t="str">
        <x:v>Include</x:v>
      </x:c>
      <x:c r="N31" s="14" t="str">
        <x:v>Include</x:v>
      </x:c>
      <x:c r="O31" s="14" t="str">
        <x:v>Already retained in the 15-study evidence matrix</x:v>
      </x:c>
      <x:c r="P31" s="14" t="str">
        <x:v>Include</x:v>
      </x:c>
      <x:c r="Q31" s="14" t="str">
        <x:v>Yes</x:v>
      </x:c>
      <x:c r="R31" s="14" t="str">
        <x:v>Feuil2!5</x:v>
      </x:c>
      <x:c r="S31" s="14" t="str"/>
    </x:row>
    <x:row r="32">
      <x:c r="A32" s="14" t="str">
        <x:v>S031</x:v>
      </x:c>
      <x:c r="B32" s="14" t="str">
        <x:v>Detecting Masquerade Attacks in Controller Area Networks Using Graph Machine Learning</x:v>
      </x:c>
      <x:c r="C32" s="14" t="str">
        <x:v>William Marfo, Pablo Moriano, Deepak K. Tosh, Shirley V. Moore</x:v>
      </x:c>
      <x:c r="D32" s="15" t="n">
        <x:v>2024</x:v>
      </x:c>
      <x:c r="E32" s="14" t="str"/>
      <x:c r="F32" s="14" t="str">
        <x:v>https://arxiv.org/abs/2408.05427</x:v>
      </x:c>
      <x:c r="G32" s="14" t="str">
        <x:v>Journal article (arXiv preprint + peer-reviewed journal version)</x:v>
      </x:c>
      <x:c r="H32" s="14" t="str"/>
      <x:c r="I32" s="14" t="str"/>
      <x:c r="J32" s="14" t="str">
        <x:v>Existing evidence matrix; Zotero collection</x:v>
      </x:c>
      <x:c r="K32" s="15" t="n">
        <x:v>2</x:v>
      </x:c>
      <x:c r="L32" s="14" t="str">
        <x:v>Yes</x:v>
      </x:c>
      <x:c r="M32" s="14" t="str">
        <x:v>Include</x:v>
      </x:c>
      <x:c r="N32" s="14" t="str">
        <x:v>Include</x:v>
      </x:c>
      <x:c r="O32" s="14" t="str">
        <x:v>Already retained in the 15-study evidence matrix</x:v>
      </x:c>
      <x:c r="P32" s="14" t="str">
        <x:v>Include</x:v>
      </x:c>
      <x:c r="Q32" s="14" t="str">
        <x:v>Yes</x:v>
      </x:c>
      <x:c r="R32" s="14" t="str">
        <x:v>Feuil2!4</x:v>
      </x:c>
      <x:c r="S32" s="14" t="str"/>
    </x:row>
    <x:row r="33">
      <x:c r="A33" s="14" t="str">
        <x:v>S032</x:v>
      </x:c>
      <x:c r="B33" s="14" t="str">
        <x:v>A Comprehensive Guide to CAN IDS Data &amp; Introduction of the ROAD Dataset</x:v>
      </x:c>
      <x:c r="C33" s="14" t="str">
        <x:v>Miki E. Verma, Robert A. Bridges, Michael D. Iannacone, Samuel C. Hollifield, Pablo Moriano, Steven C. Hespeler, Bill Kay, Frank L. Combs</x:v>
      </x:c>
      <x:c r="D33" s="15" t="n">
        <x:v>2024</x:v>
      </x:c>
      <x:c r="E33" s="14" t="str"/>
      <x:c r="F33" s="14" t="str">
        <x:v>https://arxiv.org/abs/2012.14600</x:v>
      </x:c>
      <x:c r="G33" s="14" t="str">
        <x:v>Journal article (PLOS ONE); originally arXiv preprint 2020, revised through 2024</x:v>
      </x:c>
      <x:c r="H33" s="14" t="str"/>
      <x:c r="I33" s="14" t="str"/>
      <x:c r="J33" s="14" t="str">
        <x:v>Existing evidence matrix; Zotero collection</x:v>
      </x:c>
      <x:c r="K33" s="15" t="n">
        <x:v>3</x:v>
      </x:c>
      <x:c r="L33" s="14" t="str">
        <x:v>Yes</x:v>
      </x:c>
      <x:c r="M33" s="14" t="str">
        <x:v>Include</x:v>
      </x:c>
      <x:c r="N33" s="14" t="str">
        <x:v>Include</x:v>
      </x:c>
      <x:c r="O33" s="14" t="str">
        <x:v>Already retained in the 15-study evidence matrix</x:v>
      </x:c>
      <x:c r="P33" s="14" t="str">
        <x:v>Include</x:v>
      </x:c>
      <x:c r="Q33" s="14" t="str">
        <x:v>Yes</x:v>
      </x:c>
      <x:c r="R33" s="14" t="str">
        <x:v>Feuil2!2</x:v>
      </x:c>
      <x:c r="S33" s="14" t="str"/>
    </x:row>
    <x:row r="34">
      <x:c r="A34" s="14" t="str">
        <x:v>S033</x:v>
      </x:c>
      <x:c r="B34" s="14" t="str">
        <x:v>CANShield: Deep Learning-Based Intrusion Detection Framework for Controller Area Networks at the Signal-Level</x:v>
      </x:c>
      <x:c r="C34" s="14" t="str">
        <x:v>Md Hasan Shahriar, Yang Xiao, Pablo Moriano, Wenjing Lou, Y. Thomas Hou</x:v>
      </x:c>
      <x:c r="D34" s="15" t="n">
        <x:v>2023</x:v>
      </x:c>
      <x:c r="E34" s="14" t="str"/>
      <x:c r="F34" s="14" t="str">
        <x:v>https://arxiv.org/abs/2205.01306</x:v>
      </x:c>
      <x:c r="G34" s="14" t="str">
        <x:v>Journal article / accepted IEEE IoT Journal manuscript</x:v>
      </x:c>
      <x:c r="H34" s="14" t="str"/>
      <x:c r="I34" s="14" t="str"/>
      <x:c r="J34" s="14" t="str">
        <x:v>Existing evidence matrix; Zotero collection</x:v>
      </x:c>
      <x:c r="K34" s="15" t="n">
        <x:v>4</x:v>
      </x:c>
      <x:c r="L34" s="14" t="str">
        <x:v>Yes</x:v>
      </x:c>
      <x:c r="M34" s="14" t="str">
        <x:v>Include</x:v>
      </x:c>
      <x:c r="N34" s="14" t="str">
        <x:v>Include</x:v>
      </x:c>
      <x:c r="O34" s="14" t="str">
        <x:v>Already retained in the 15-study evidence matrix</x:v>
      </x:c>
      <x:c r="P34" s="14" t="str">
        <x:v>Include</x:v>
      </x:c>
      <x:c r="Q34" s="14" t="str">
        <x:v>Yes</x:v>
      </x:c>
      <x:c r="R34" s="14" t="str">
        <x:v>Feuil1!5</x:v>
      </x:c>
      <x:c r="S34" s="14" t="str"/>
    </x:row>
    <x:row r="35">
      <x:c r="A35" s="14" t="str">
        <x:v>S034</x:v>
      </x:c>
      <x:c r="B35" s="14" t="str">
        <x:v>Evaluating Lightweight Unsupervised Online IDS for Masquerade Attacks in CAN</x:v>
      </x:c>
      <x:c r="C35" s="14" t="str">
        <x:v>Pablo Moriano, Steven C. Hespeler, Mingyan Li, Robert A. Bridges</x:v>
      </x:c>
      <x:c r="D35" s="15" t="n">
        <x:v>2024</x:v>
      </x:c>
      <x:c r="E35" s="14" t="str"/>
      <x:c r="F35" s="14" t="str">
        <x:v>https://arxiv.org/abs/2406.13778</x:v>
      </x:c>
      <x:c r="G35" s="14" t="str">
        <x:v>Journal article (also circulated as arXiv preprint; ScienceDirect version dated Feb 2026)</x:v>
      </x:c>
      <x:c r="H35" s="14" t="str"/>
      <x:c r="I35" s="14" t="str"/>
      <x:c r="J35" s="14" t="str">
        <x:v>Existing evidence matrix; Zotero collection</x:v>
      </x:c>
      <x:c r="K35" s="15" t="n">
        <x:v>2</x:v>
      </x:c>
      <x:c r="L35" s="14" t="str">
        <x:v>Yes</x:v>
      </x:c>
      <x:c r="M35" s="14" t="str">
        <x:v>Include</x:v>
      </x:c>
      <x:c r="N35" s="14" t="str">
        <x:v>Include</x:v>
      </x:c>
      <x:c r="O35" s="14" t="str">
        <x:v>Already retained in the 15-study evidence matrix</x:v>
      </x:c>
      <x:c r="P35" s="14" t="str">
        <x:v>Include</x:v>
      </x:c>
      <x:c r="Q35" s="14" t="str">
        <x:v>Yes</x:v>
      </x:c>
      <x:c r="R35" s="14" t="str">
        <x:v>Feuil2!6</x:v>
      </x:c>
      <x:c r="S35" s="14" t="str"/>
    </x:row>
    <x:row r="36">
      <x:c r="A36" s="14" t="str">
        <x:v>S035</x:v>
      </x:c>
      <x:c r="B36" s="14" t="str">
        <x:v>FALCON-Guard: A Lightweight Explainable Framework for Real-Time Cyber Threat Detection and Adaptive Risk Mitigation in Intelligent Driving Networks</x:v>
      </x:c>
      <x:c r="C36" s="14" t="str">
        <x:v>Fahad Amin; Usman Imtiaz; Dr Ajab Khan</x:v>
      </x:c>
      <x:c r="D36" s="15" t="n">
        <x:v>2025</x:v>
      </x:c>
      <x:c r="E36" s="14" t="str"/>
      <x:c r="F36" s="14" t="str">
        <x:v>https://mrcis.org/index.php/journal/article/view/161</x:v>
      </x:c>
      <x:c r="G36" s="14" t="str">
        <x:v>journalArticle</x:v>
      </x:c>
      <x:c r="H36" s="14" t="str">
        <x:v>Multidisciplinary Research in Computing Information Systems</x:v>
      </x:c>
      <x:c r="I36" s="14" t="str">
        <x:v>mrcis.org</x:v>
      </x:c>
      <x:c r="J36" s="14" t="str">
        <x:v>Zotero collection</x:v>
      </x:c>
      <x:c r="K36" s="15" t="n">
        <x:v>1</x:v>
      </x:c>
      <x:c r="L36" s="14" t="str">
        <x:v>Unknown</x:v>
      </x:c>
      <x:c r="M36" s="14" t="str">
        <x:v>Pending</x:v>
      </x:c>
      <x:c r="N36" s="14" t="str">
        <x:v>Pending</x:v>
      </x:c>
      <x:c r="O36" s="14" t="str"/>
      <x:c r="P36" s="14" t="str">
        <x:v>Pending</x:v>
      </x:c>
      <x:c r="Q36" s="14" t="str">
        <x:v>No</x:v>
      </x:c>
      <x:c r="R36" s="14" t="str"/>
      <x:c r="S36" s="14" t="str"/>
    </x:row>
    <x:row r="37">
      <x:c r="A37" s="14" t="str">
        <x:v>S036</x:v>
      </x:c>
      <x:c r="B37" s="14" t="str">
        <x:v>Network Anomaly Detection in Distributed Edge Computing Infrastructure</x:v>
      </x:c>
      <x:c r="C37" s="14" t="str">
        <x:v>William Marfo; Enrique A. Rico; Deepak K. Tosh; Shirley V. Moore</x:v>
      </x:c>
      <x:c r="D37" s="15" t="n">
        <x:v>2025</x:v>
      </x:c>
      <x:c r="E37" s="14" t="str"/>
      <x:c r="F37" s="14" t="str">
        <x:v>https://ieeexplore.ieee.org/document/10976032/</x:v>
      </x:c>
      <x:c r="G37" s="14" t="str">
        <x:v>conferencePaper</x:v>
      </x:c>
      <x:c r="H37" s="14" t="str"/>
      <x:c r="I37" s="14" t="str">
        <x:v>DOI.org (Crossref)</x:v>
      </x:c>
      <x:c r="J37" s="14" t="str">
        <x:v>Zotero collection</x:v>
      </x:c>
      <x:c r="K37" s="15" t="n">
        <x:v>1</x:v>
      </x:c>
      <x:c r="L37" s="14" t="str">
        <x:v>Unknown</x:v>
      </x:c>
      <x:c r="M37" s="14" t="str">
        <x:v>Pending</x:v>
      </x:c>
      <x:c r="N37" s="14" t="str">
        <x:v>Pending</x:v>
      </x:c>
      <x:c r="O37" s="14" t="str"/>
      <x:c r="P37" s="14" t="str">
        <x:v>Pending</x:v>
      </x:c>
      <x:c r="Q37" s="14" t="str">
        <x:v>No</x:v>
      </x:c>
      <x:c r="R37" s="14" t="str"/>
      <x:c r="S37" s="14" t="str"/>
    </x:row>
    <x:row r="38">
      <x:c r="A38" s="14" t="str">
        <x:v>S037</x:v>
      </x:c>
      <x:c r="B38" s="14" t="str">
        <x:v>Controller Area Network Cybersecurity</x:v>
      </x:c>
      <x:c r="C38" s="14" t="str"/>
      <x:c r="D38" s="15" t="str"/>
      <x:c r="E38" s="14" t="str"/>
      <x:c r="F38" s="14" t="str">
        <x:v>https://encyclopedia.pub/entry/52044</x:v>
      </x:c>
      <x:c r="G38" s="14" t="str">
        <x:v>webpage</x:v>
      </x:c>
      <x:c r="H38" s="14" t="str"/>
      <x:c r="I38" s="14" t="str"/>
      <x:c r="J38" s="14" t="str">
        <x:v>Zotero collection</x:v>
      </x:c>
      <x:c r="K38" s="15" t="n">
        <x:v>1</x:v>
      </x:c>
      <x:c r="L38" s="14" t="str">
        <x:v>Unknown</x:v>
      </x:c>
      <x:c r="M38" s="14" t="str">
        <x:v>Pending</x:v>
      </x:c>
      <x:c r="N38" s="14" t="str">
        <x:v>Pending</x:v>
      </x:c>
      <x:c r="O38" s="14" t="str"/>
      <x:c r="P38" s="14" t="str">
        <x:v>Pending</x:v>
      </x:c>
      <x:c r="Q38" s="14" t="str">
        <x:v>No</x:v>
      </x:c>
      <x:c r="R38" s="14" t="str"/>
      <x:c r="S38" s="14" t="str"/>
    </x:row>
    <x:row r="39">
      <x:c r="A39" s="14" t="str">
        <x:v>S038</x:v>
      </x:c>
      <x:c r="B39" s="14" t="str">
        <x:v>Detecting CAN Masquerade Attacks with Signal Clustering Similarity</x:v>
      </x:c>
      <x:c r="C39" s="14" t="str">
        <x:v>Pablo A. Moriano, Robert A. Bridges, Michael D. Iannacone</x:v>
      </x:c>
      <x:c r="D39" s="15" t="n">
        <x:v>2022</x:v>
      </x:c>
      <x:c r="E39" s="14" t="str"/>
      <x:c r="F39" s="14" t="str">
        <x:v>https://www.ndss-symposium.org/wp-content/uploads/autosec2022_23028_paper.pdf</x:v>
      </x:c>
      <x:c r="G39" s="14" t="str">
        <x:v>Workshop paper (NDSS AutoSec 2022) — Best Paper Award</x:v>
      </x:c>
      <x:c r="H39" s="14" t="str"/>
      <x:c r="I39" s="14" t="str"/>
      <x:c r="J39" s="14" t="str">
        <x:v>Existing evidence matrix; Zotero collection</x:v>
      </x:c>
      <x:c r="K39" s="15" t="n">
        <x:v>3</x:v>
      </x:c>
      <x:c r="L39" s="14" t="str">
        <x:v>Yes</x:v>
      </x:c>
      <x:c r="M39" s="14" t="str">
        <x:v>Include</x:v>
      </x:c>
      <x:c r="N39" s="14" t="str">
        <x:v>Include</x:v>
      </x:c>
      <x:c r="O39" s="14" t="str">
        <x:v>Already retained in the 15-study evidence matrix</x:v>
      </x:c>
      <x:c r="P39" s="14" t="str">
        <x:v>Include</x:v>
      </x:c>
      <x:c r="Q39" s="14" t="str">
        <x:v>Yes</x:v>
      </x:c>
      <x:c r="R39" s="14" t="str">
        <x:v>Feuil2!3</x:v>
      </x:c>
      <x:c r="S39" s="14" t="str"/>
    </x:row>
    <x:row r="40">
      <x:c r="A40" s="14" t="str">
        <x:v>S039</x:v>
      </x:c>
      <x:c r="B40" s="14" t="str">
        <x:v>CANtropy: Time Series Feature Extraction-Based Intrusion Detection Systems for Controller Area Networks</x:v>
      </x:c>
      <x:c r="C40" s="14" t="str">
        <x:v>Md Hasan Shahriar; Wenjing Lou; Y. Thomas Hou</x:v>
      </x:c>
      <x:c r="D40" s="15" t="n">
        <x:v>2023</x:v>
      </x:c>
      <x:c r="E40" s="14" t="str"/>
      <x:c r="F40" s="14" t="str">
        <x:v>https://www.ndss-symposium.org/wp-content/uploads/2023/02/vehiclesec2023-23090-paper.pdf</x:v>
      </x:c>
      <x:c r="G40" s="14" t="str">
        <x:v>conferencePaper</x:v>
      </x:c>
      <x:c r="H40" s="14" t="str"/>
      <x:c r="I40" s="14" t="str">
        <x:v>DOI.org (Crossref)</x:v>
      </x:c>
      <x:c r="J40" s="14" t="str">
        <x:v>Zotero collection</x:v>
      </x:c>
      <x:c r="K40" s="15" t="n">
        <x:v>1</x:v>
      </x:c>
      <x:c r="L40" s="14" t="str">
        <x:v>Unknown</x:v>
      </x:c>
      <x:c r="M40" s="14" t="str">
        <x:v>Pending</x:v>
      </x:c>
      <x:c r="N40" s="14" t="str">
        <x:v>Pending</x:v>
      </x:c>
      <x:c r="O40" s="14" t="str"/>
      <x:c r="P40" s="14" t="str">
        <x:v>Pending</x:v>
      </x:c>
      <x:c r="Q40" s="14" t="str">
        <x:v>No</x:v>
      </x:c>
      <x:c r="R40" s="14" t="str"/>
      <x:c r="S40" s="14" t="str"/>
    </x:row>
    <x:row r="41">
      <x:c r="A41" s="14" t="str">
        <x:v>S040</x:v>
      </x:c>
      <x:c r="B41" s="14" t="str">
        <x:v>Time-Based CAN Intrusion Detection Benchmark</x:v>
      </x:c>
      <x:c r="C41" s="14" t="str">
        <x:v>Deborah H. Blevins; Pablo Moriano; Robert A. Bridges; Miki E. Verma; Michael D. Iannacone; Samuel C Hollifield</x:v>
      </x:c>
      <x:c r="D41" s="15" t="n">
        <x:v>2021</x:v>
      </x:c>
      <x:c r="E41" s="14" t="str"/>
      <x:c r="F41" s="14" t="str">
        <x:v>https://www.ndss-symposium.org/wp-content/uploads/autosec2021_23013_paper.pdf</x:v>
      </x:c>
      <x:c r="G41" s="14" t="str">
        <x:v>conferencePaper</x:v>
      </x:c>
      <x:c r="H41" s="14" t="str"/>
      <x:c r="I41" s="14" t="str">
        <x:v>DOI.org (Crossref)</x:v>
      </x:c>
      <x:c r="J41" s="14" t="str">
        <x:v>Zotero collection</x:v>
      </x:c>
      <x:c r="K41" s="15" t="n">
        <x:v>1</x:v>
      </x:c>
      <x:c r="L41" s="14" t="str">
        <x:v>Unknown</x:v>
      </x:c>
      <x:c r="M41" s="14" t="str">
        <x:v>Pending</x:v>
      </x:c>
      <x:c r="N41" s="14" t="str">
        <x:v>Pending</x:v>
      </x:c>
      <x:c r="O41" s="14" t="str"/>
      <x:c r="P41" s="14" t="str">
        <x:v>Pending</x:v>
      </x:c>
      <x:c r="Q41" s="14" t="str">
        <x:v>No</x:v>
      </x:c>
      <x:c r="R41" s="14" t="str"/>
      <x:c r="S41" s="14" t="str"/>
    </x:row>
    <x:row r="42">
      <x:c r="A42" s="14" t="str">
        <x:v>S041</x:v>
      </x:c>
      <x:c r="B42" s="14" t="str">
        <x:v>A Framework for Consistent and Repeatable Controller Area Network IDS Evaluation</x:v>
      </x:c>
      <x:c r="C42" s="14" t="str">
        <x:v>Paul Agbaje; Afia Anjum; Arkajyoti Mitra; Gedare Bloom; Habeeb Olufowobi</x:v>
      </x:c>
      <x:c r="D42" s="15" t="n">
        <x:v>2022</x:v>
      </x:c>
      <x:c r="E42" s="14" t="str"/>
      <x:c r="F42" s="14" t="str">
        <x:v>https://www.ndss-symposium.org/wp-content/uploads/autosec2022_23031_paper.pdf</x:v>
      </x:c>
      <x:c r="G42" s="14" t="str">
        <x:v>conferencePaper</x:v>
      </x:c>
      <x:c r="H42" s="14" t="str"/>
      <x:c r="I42" s="14" t="str">
        <x:v>DOI.org (Crossref)</x:v>
      </x:c>
      <x:c r="J42" s="14" t="str">
        <x:v>Zotero collection</x:v>
      </x:c>
      <x:c r="K42" s="15" t="n">
        <x:v>1</x:v>
      </x:c>
      <x:c r="L42" s="14" t="str">
        <x:v>Unknown</x:v>
      </x:c>
      <x:c r="M42" s="14" t="str">
        <x:v>Pending</x:v>
      </x:c>
      <x:c r="N42" s="14" t="str">
        <x:v>Pending</x:v>
      </x:c>
      <x:c r="O42" s="14" t="str"/>
      <x:c r="P42" s="14" t="str">
        <x:v>Pending</x:v>
      </x:c>
      <x:c r="Q42" s="14" t="str">
        <x:v>No</x:v>
      </x:c>
      <x:c r="R42" s="14" t="str"/>
      <x:c r="S42" s="14" t="str"/>
    </x:row>
    <x:row r="43">
      <x:c r="A43" s="14" t="str">
        <x:v>S042</x:v>
      </x:c>
      <x:c r="B43" s="14" t="str">
        <x:v>ID Sequence Analysis for Intrusion Detection in the CAN bus using Long Short Term Memory Networks</x:v>
      </x:c>
      <x:c r="C43" s="14" t="str">
        <x:v>Araya Kibrom Desta; Shuji Ohira; Ismail Arai; Kazutoshi Fujikawa</x:v>
      </x:c>
      <x:c r="D43" s="15" t="n">
        <x:v>2020</x:v>
      </x:c>
      <x:c r="E43" s="14" t="str"/>
      <x:c r="F43" s="14" t="str">
        <x:v>https://ieeexplore.ieee.org/document/9156250/</x:v>
      </x:c>
      <x:c r="G43" s="14" t="str">
        <x:v>conferencePaper</x:v>
      </x:c>
      <x:c r="H43" s="14" t="str"/>
      <x:c r="I43" s="14" t="str">
        <x:v>DOI.org (Crossref)</x:v>
      </x:c>
      <x:c r="J43" s="14" t="str">
        <x:v>Zotero collection</x:v>
      </x:c>
      <x:c r="K43" s="15" t="n">
        <x:v>1</x:v>
      </x:c>
      <x:c r="L43" s="14" t="str">
        <x:v>Unknown</x:v>
      </x:c>
      <x:c r="M43" s="14" t="str">
        <x:v>Pending</x:v>
      </x:c>
      <x:c r="N43" s="14" t="str">
        <x:v>Pending</x:v>
      </x:c>
      <x:c r="O43" s="14" t="str"/>
      <x:c r="P43" s="14" t="str">
        <x:v>Pending</x:v>
      </x:c>
      <x:c r="Q43" s="14" t="str">
        <x:v>No</x:v>
      </x:c>
      <x:c r="R43" s="14" t="str"/>
      <x:c r="S43" s="14" t="str"/>
    </x:row>
    <x:row r="44">
      <x:c r="A44" s="14" t="str">
        <x:v>S043</x:v>
      </x:c>
      <x:c r="B44" s="14" t="str">
        <x:v>Confidence ensembles: Tabular data classifiers on steroids</x:v>
      </x:c>
      <x:c r="C44" s="14" t="str">
        <x:v>Tommaso Zoppi; Peter Popov</x:v>
      </x:c>
      <x:c r="D44" s="15" t="n">
        <x:v>2025</x:v>
      </x:c>
      <x:c r="E44" s="14" t="str"/>
      <x:c r="F44" s="14" t="str">
        <x:v>https://linkinghub.elsevier.com/retrieve/pii/S156625352500199X</x:v>
      </x:c>
      <x:c r="G44" s="14" t="str">
        <x:v>journalArticle</x:v>
      </x:c>
      <x:c r="H44" s="14" t="str">
        <x:v>Information Fusion</x:v>
      </x:c>
      <x:c r="I44" s="14" t="str">
        <x:v>DOI.org (Crossref)</x:v>
      </x:c>
      <x:c r="J44" s="14" t="str">
        <x:v>Zotero collection</x:v>
      </x:c>
      <x:c r="K44" s="15" t="n">
        <x:v>1</x:v>
      </x:c>
      <x:c r="L44" s="14" t="str">
        <x:v>Unknown</x:v>
      </x:c>
      <x:c r="M44" s="14" t="str">
        <x:v>Pending</x:v>
      </x:c>
      <x:c r="N44" s="14" t="str">
        <x:v>Pending</x:v>
      </x:c>
      <x:c r="O44" s="14" t="str"/>
      <x:c r="P44" s="14" t="str">
        <x:v>Pending</x:v>
      </x:c>
      <x:c r="Q44" s="14" t="str">
        <x:v>No</x:v>
      </x:c>
      <x:c r="R44" s="14" t="str"/>
      <x:c r="S44" s="14" t="str"/>
    </x:row>
    <x:row r="45">
      <x:c r="A45" s="14" t="str">
        <x:v>S044</x:v>
      </x:c>
      <x:c r="B45" s="14" t="str">
        <x:v>CAN-MIRGU: A Comprehensive CAN Bus Attack Dataset from Moving Vehicles for Intrusion Detection System Evaluation</x:v>
      </x:c>
      <x:c r="C45" s="14" t="str">
        <x:v>Sampath Rajapaksha; Harsha Kalutarage; Garikayi Madzudzo; Andrei Petrovski; M.Omar Al-Kadri</x:v>
      </x:c>
      <x:c r="D45" s="15" t="n">
        <x:v>2024</x:v>
      </x:c>
      <x:c r="E45" s="14" t="str"/>
      <x:c r="F45" s="14" t="str">
        <x:v>https://www.ndss-symposium.org/wp-content/uploads/vehiclesec2024-43-paper.pdf</x:v>
      </x:c>
      <x:c r="G45" s="14" t="str">
        <x:v>conferencePaper</x:v>
      </x:c>
      <x:c r="H45" s="14" t="str"/>
      <x:c r="I45" s="14" t="str">
        <x:v>DOI.org (Crossref)</x:v>
      </x:c>
      <x:c r="J45" s="14" t="str">
        <x:v>Zotero collection</x:v>
      </x:c>
      <x:c r="K45" s="15" t="n">
        <x:v>2</x:v>
      </x:c>
      <x:c r="L45" s="14" t="str">
        <x:v>Unknown</x:v>
      </x:c>
      <x:c r="M45" s="14" t="str">
        <x:v>Pending</x:v>
      </x:c>
      <x:c r="N45" s="14" t="str">
        <x:v>Pending</x:v>
      </x:c>
      <x:c r="O45" s="14" t="str"/>
      <x:c r="P45" s="14" t="str">
        <x:v>Pending</x:v>
      </x:c>
      <x:c r="Q45" s="14" t="str">
        <x:v>No</x:v>
      </x:c>
      <x:c r="R45" s="14" t="str"/>
      <x:c r="S45" s="14" t="str"/>
    </x:row>
    <x:row r="46">
      <x:c r="A46" s="14" t="str">
        <x:v>S045</x:v>
      </x:c>
      <x:c r="B46" s="14" t="str">
        <x:v>Vehicular Intrusion Detection System for Controller Area Network: A Comprehensive Survey and Evaluation</x:v>
      </x:c>
      <x:c r="C46" s="14" t="str"/>
      <x:c r="D46" s="15" t="str"/>
      <x:c r="E46" s="14" t="str"/>
      <x:c r="F46" s="14" t="str">
        <x:v>https://arxiv.org/html/2505.17274v1</x:v>
      </x:c>
      <x:c r="G46" s="14" t="str">
        <x:v>webpage</x:v>
      </x:c>
      <x:c r="H46" s="14" t="str"/>
      <x:c r="I46" s="14" t="str"/>
      <x:c r="J46" s="14" t="str">
        <x:v>Zotero collection</x:v>
      </x:c>
      <x:c r="K46" s="15" t="n">
        <x:v>1</x:v>
      </x:c>
      <x:c r="L46" s="14" t="str">
        <x:v>Unknown</x:v>
      </x:c>
      <x:c r="M46" s="14" t="str">
        <x:v>Pending</x:v>
      </x:c>
      <x:c r="N46" s="14" t="str">
        <x:v>Pending</x:v>
      </x:c>
      <x:c r="O46" s="14" t="str"/>
      <x:c r="P46" s="14" t="str">
        <x:v>Pending</x:v>
      </x:c>
      <x:c r="Q46" s="14" t="str">
        <x:v>No</x:v>
      </x:c>
      <x:c r="R46" s="14" t="str"/>
      <x:c r="S46" s="14" t="str"/>
    </x:row>
    <x:row r="47">
      <x:c r="A47" s="14" t="str">
        <x:v>S046</x:v>
      </x:c>
      <x:c r="B47" s="14" t="str">
        <x:v>(PDF) TTIDS: Transmission-Resuming Time-Based Intrusion Detection System for Controller Area Network (CAN)</x:v>
      </x:c>
      <x:c r="C47" s="14" t="str"/>
      <x:c r="D47" s="15" t="str"/>
      <x:c r="E47" s="14" t="str"/>
      <x:c r="F47" s="14" t="str">
        <x:v>https://www.researchgate.net/publication/360534626_TTIDS_Transmission-Resuming_Time-Based_Intrusion_Detection_System_for_Controller_Area_Network_CAN</x:v>
      </x:c>
      <x:c r="G47" s="14" t="str">
        <x:v>webpage</x:v>
      </x:c>
      <x:c r="H47" s="14" t="str"/>
      <x:c r="I47" s="14" t="str"/>
      <x:c r="J47" s="14" t="str">
        <x:v>Zotero collection</x:v>
      </x:c>
      <x:c r="K47" s="15" t="n">
        <x:v>1</x:v>
      </x:c>
      <x:c r="L47" s="14" t="str">
        <x:v>Unknown</x:v>
      </x:c>
      <x:c r="M47" s="14" t="str">
        <x:v>Pending</x:v>
      </x:c>
      <x:c r="N47" s="14" t="str">
        <x:v>Pending</x:v>
      </x:c>
      <x:c r="O47" s="14" t="str"/>
      <x:c r="P47" s="14" t="str">
        <x:v>Pending</x:v>
      </x:c>
      <x:c r="Q47" s="14" t="str">
        <x:v>No</x:v>
      </x:c>
      <x:c r="R47" s="14" t="str"/>
      <x:c r="S47" s="14" t="str"/>
    </x:row>
    <x:row r="48">
      <x:c r="A48" s="14" t="str">
        <x:v>S047</x:v>
      </x:c>
      <x:c r="B48" s="14" t="str">
        <x:v>ATHENA: An In-vehicle CAN Intrusion Detection Framework Based on Physical Characteristics of Vehicle Systems</x:v>
      </x:c>
      <x:c r="C48" s="14" t="str"/>
      <x:c r="D48" s="15" t="str"/>
      <x:c r="E48" s="14" t="str"/>
      <x:c r="F48" s="14" t="str">
        <x:v>https://arxiv.org/html/2503.17067v1</x:v>
      </x:c>
      <x:c r="G48" s="14" t="str">
        <x:v>webpage</x:v>
      </x:c>
      <x:c r="H48" s="14" t="str"/>
      <x:c r="I48" s="14" t="str"/>
      <x:c r="J48" s="14" t="str">
        <x:v>Zotero collection</x:v>
      </x:c>
      <x:c r="K48" s="15" t="n">
        <x:v>1</x:v>
      </x:c>
      <x:c r="L48" s="14" t="str">
        <x:v>Unknown</x:v>
      </x:c>
      <x:c r="M48" s="14" t="str">
        <x:v>Pending</x:v>
      </x:c>
      <x:c r="N48" s="14" t="str">
        <x:v>Pending</x:v>
      </x:c>
      <x:c r="O48" s="14" t="str"/>
      <x:c r="P48" s="14" t="str">
        <x:v>Pending</x:v>
      </x:c>
      <x:c r="Q48" s="14" t="str">
        <x:v>No</x:v>
      </x:c>
      <x:c r="R48" s="14" t="str"/>
      <x:c r="S48" s="14" t="str"/>
    </x:row>
    <x:row r="49">
      <x:c r="A49" s="14" t="str">
        <x:v>S048</x:v>
      </x:c>
      <x:c r="B49" s="14" t="str">
        <x:v>(PDF) Intrusion Response System for Vehicles: Challenges and Vision</x:v>
      </x:c>
      <x:c r="C49" s="14" t="str"/>
      <x:c r="D49" s="15" t="str"/>
      <x:c r="E49" s="14" t="str"/>
      <x:c r="F49" s="14" t="str">
        <x:v>https://www.researchgate.net/publication/348890406_Intrusion_Response_System_for_Vehicles_Challenges_and_Vision</x:v>
      </x:c>
      <x:c r="G49" s="14" t="str">
        <x:v>webpage</x:v>
      </x:c>
      <x:c r="H49" s="14" t="str"/>
      <x:c r="I49" s="14" t="str"/>
      <x:c r="J49" s="14" t="str">
        <x:v>Zotero collection</x:v>
      </x:c>
      <x:c r="K49" s="15" t="n">
        <x:v>1</x:v>
      </x:c>
      <x:c r="L49" s="14" t="str">
        <x:v>Unknown</x:v>
      </x:c>
      <x:c r="M49" s="14" t="str">
        <x:v>Pending</x:v>
      </x:c>
      <x:c r="N49" s="14" t="str">
        <x:v>Pending</x:v>
      </x:c>
      <x:c r="O49" s="14" t="str"/>
      <x:c r="P49" s="14" t="str">
        <x:v>Pending</x:v>
      </x:c>
      <x:c r="Q49" s="14" t="str">
        <x:v>No</x:v>
      </x:c>
      <x:c r="R49" s="14" t="str"/>
      <x:c r="S49" s="14" t="str"/>
    </x:row>
    <x:row r="50">
      <x:c r="A50" s="14" t="str">
        <x:v>S049</x:v>
      </x:c>
      <x:c r="B50" s="14" t="str">
        <x:v>Cybersecurity Engineering: Bridging the Security Gaps in Advanced Automotive Systems and ISO/SAE 21434</x:v>
      </x:c>
      <x:c r="C50" s="14" t="str">
        <x:v>Fahad Siddiqui; Rafiullah Khan; Sena Yengec; Henry Hui; Balmukund Sonigara; Sakir Sezer; Kieran Mclaughlin</x:v>
      </x:c>
      <x:c r="D50" s="15" t="n">
        <x:v>2023</x:v>
      </x:c>
      <x:c r="E50" s="14" t="str"/>
      <x:c r="F50" s="14" t="str"/>
      <x:c r="G50" s="14" t="str">
        <x:v>book</x:v>
      </x:c>
      <x:c r="H50" s="14" t="str"/>
      <x:c r="I50" s="14" t="str">
        <x:v>ResearchGate</x:v>
      </x:c>
      <x:c r="J50" s="14" t="str">
        <x:v>Zotero collection</x:v>
      </x:c>
      <x:c r="K50" s="15" t="n">
        <x:v>1</x:v>
      </x:c>
      <x:c r="L50" s="14" t="str">
        <x:v>Unknown</x:v>
      </x:c>
      <x:c r="M50" s="14" t="str">
        <x:v>Pending</x:v>
      </x:c>
      <x:c r="N50" s="14" t="str">
        <x:v>Pending</x:v>
      </x:c>
      <x:c r="O50" s="14" t="str"/>
      <x:c r="P50" s="14" t="str">
        <x:v>Pending</x:v>
      </x:c>
      <x:c r="Q50" s="14" t="str">
        <x:v>No</x:v>
      </x:c>
      <x:c r="R50" s="14" t="str"/>
      <x:c r="S50" s="14" t="str"/>
    </x:row>
    <x:row r="51">
      <x:c r="A51" s="14" t="str">
        <x:v>S050</x:v>
      </x:c>
      <x:c r="B51" s="14" t="str">
        <x:v>ISO/SAE 21434-Based Risk Assessment of Security Incidents in Automated Road Vehicles</x:v>
      </x:c>
      <x:c r="C51" s="14" t="str">
        <x:v>Dominik Püllen; Jonas Liske; Stefan Katzenbeisser</x:v>
      </x:c>
      <x:c r="D51" s="15" t="n">
        <x:v>2021</x:v>
      </x:c>
      <x:c r="E51" s="14" t="str"/>
      <x:c r="F51" s="14" t="str"/>
      <x:c r="G51" s="14" t="str">
        <x:v>bookSection</x:v>
      </x:c>
      <x:c r="H51" s="14" t="str"/>
      <x:c r="I51" s="14" t="str">
        <x:v>ResearchGate</x:v>
      </x:c>
      <x:c r="J51" s="14" t="str">
        <x:v>Zotero collection</x:v>
      </x:c>
      <x:c r="K51" s="15" t="n">
        <x:v>1</x:v>
      </x:c>
      <x:c r="L51" s="14" t="str">
        <x:v>Unknown</x:v>
      </x:c>
      <x:c r="M51" s="14" t="str">
        <x:v>Pending</x:v>
      </x:c>
      <x:c r="N51" s="14" t="str">
        <x:v>Pending</x:v>
      </x:c>
      <x:c r="O51" s="14" t="str"/>
      <x:c r="P51" s="14" t="str">
        <x:v>Pending</x:v>
      </x:c>
      <x:c r="Q51" s="14" t="str">
        <x:v>No</x:v>
      </x:c>
      <x:c r="R51" s="14" t="str"/>
      <x:c r="S51" s="14" t="str"/>
    </x:row>
    <x:row r="52">
      <x:c r="A52" s="14" t="str">
        <x:v>S051</x:v>
      </x:c>
      <x:c r="B52" s="14" t="str">
        <x:v>Works search | OpenAlex</x:v>
      </x:c>
      <x:c r="C52" s="14" t="str"/>
      <x:c r="D52" s="15" t="str"/>
      <x:c r="E52" s="14" t="str"/>
      <x:c r="F52" s="14" t="str">
        <x:v>https://openalex.org/works?search.title_and_abstract=%22vehicle-to-cloud%22+cybersecurity+intrusion+detection&amp;page=1&amp;sort=relevance_score:desc</x:v>
      </x:c>
      <x:c r="G52" s="14" t="str">
        <x:v>webpage</x:v>
      </x:c>
      <x:c r="H52" s="14" t="str"/>
      <x:c r="I52" s="14" t="str"/>
      <x:c r="J52" s="14" t="str">
        <x:v>Zotero collection</x:v>
      </x:c>
      <x:c r="K52" s="15" t="n">
        <x:v>1</x:v>
      </x:c>
      <x:c r="L52" s="14" t="str">
        <x:v>Unknown</x:v>
      </x:c>
      <x:c r="M52" s="14" t="str">
        <x:v>Pending</x:v>
      </x:c>
      <x:c r="N52" s="14" t="str">
        <x:v>Pending</x:v>
      </x:c>
      <x:c r="O52" s="14" t="str"/>
      <x:c r="P52" s="14" t="str">
        <x:v>Pending</x:v>
      </x:c>
      <x:c r="Q52" s="14" t="str">
        <x:v>No</x:v>
      </x:c>
      <x:c r="R52" s="14" t="str"/>
      <x:c r="S52" s="14" t="str"/>
    </x:row>
    <x:row r="53">
      <x:c r="A53" s="14" t="str">
        <x:v>S052</x:v>
      </x:c>
      <x:c r="B53" s="14" t="str">
        <x:v>Cybersecurity Risks in Connected Vehicles</x:v>
      </x:c>
      <x:c r="C53" s="14" t="str">
        <x:v>Sai Kalyani Rachapalli</x:v>
      </x:c>
      <x:c r="D53" s="15" t="n">
        <x:v>2023</x:v>
      </x:c>
      <x:c r="E53" s="14" t="str"/>
      <x:c r="F53" s="14" t="str">
        <x:v>https://www.ijirmps.org/research-paper.php?id=232510</x:v>
      </x:c>
      <x:c r="G53" s="14" t="str">
        <x:v>journalArticle</x:v>
      </x:c>
      <x:c r="H53" s="14" t="str"/>
      <x:c r="I53" s="14" t="str">
        <x:v>www.ijirmps.org</x:v>
      </x:c>
      <x:c r="J53" s="14" t="str">
        <x:v>Zotero collection</x:v>
      </x:c>
      <x:c r="K53" s="15" t="n">
        <x:v>1</x:v>
      </x:c>
      <x:c r="L53" s="14" t="str">
        <x:v>Unknown</x:v>
      </x:c>
      <x:c r="M53" s="14" t="str">
        <x:v>Pending</x:v>
      </x:c>
      <x:c r="N53" s="14" t="str">
        <x:v>Pending</x:v>
      </x:c>
      <x:c r="O53" s="14" t="str"/>
      <x:c r="P53" s="14" t="str">
        <x:v>Pending</x:v>
      </x:c>
      <x:c r="Q53" s="14" t="str">
        <x:v>No</x:v>
      </x:c>
      <x:c r="R53" s="14" t="str"/>
      <x:c r="S53" s="14" t="str"/>
    </x:row>
    <x:row r="54">
      <x:c r="A54" s="14" t="str">
        <x:v>S053</x:v>
      </x:c>
      <x:c r="B54" s="14" t="str">
        <x:v>Cloud-based cyber-physical intrusion detection for vehicles using Deep Learning</x:v>
      </x:c>
      <x:c r="C54" s="14" t="str">
        <x:v>Loukas, George ORCID logo, Vuong, Tuan, Heartfield, Ryan, Sakellari, Georgia ORCID logo, Yoon, Yongpil and Gan, Diane</x:v>
      </x:c>
      <x:c r="D54" s="15" t="n">
        <x:v>2017</x:v>
      </x:c>
      <x:c r="E54" s="14" t="str"/>
      <x:c r="F54" s="14" t="str">
        <x:v>https://gala.gre.ac.uk/id/eprint/18213/</x:v>
      </x:c>
      <x:c r="G54" s="14" t="str">
        <x:v>Article</x:v>
      </x:c>
      <x:c r="H54" s="14" t="str"/>
      <x:c r="I54" s="14" t="str"/>
      <x:c r="J54" s="14" t="str">
        <x:v>Existing evidence matrix</x:v>
      </x:c>
      <x:c r="K54" s="15" t="n">
        <x:v>1</x:v>
      </x:c>
      <x:c r="L54" s="14" t="str">
        <x:v>Yes</x:v>
      </x:c>
      <x:c r="M54" s="14" t="str">
        <x:v>Include</x:v>
      </x:c>
      <x:c r="N54" s="14" t="str">
        <x:v>Include</x:v>
      </x:c>
      <x:c r="O54" s="14" t="str">
        <x:v>Already retained in the 15-study evidence matrix</x:v>
      </x:c>
      <x:c r="P54" s="14" t="str">
        <x:v>Include</x:v>
      </x:c>
      <x:c r="Q54" s="14" t="str">
        <x:v>Yes</x:v>
      </x:c>
      <x:c r="R54" s="14" t="str">
        <x:v>Feuil1!2</x:v>
      </x:c>
      <x:c r="S54" s="14" t="str"/>
    </x:row>
    <x:row r="55">
      <x:c r="A55" s="14" t="str">
        <x:v>S054</x:v>
      </x:c>
      <x:c r="B55" s="14" t="str">
        <x:v>Network Offloading Policies for Cloud Robotics: a Learning-based Approach</x:v>
      </x:c>
      <x:c r="C55" s="14" t="str">
        <x:v>Sandeep Chinchali∗ , Apoorva Sharma‡ , James Harrison§ , Amine Elhafsi‡ , Daniel Kang∗ , Evgenya Pergament† , Eyal Cidon† , Sachin Katti∗†, Marco Pavone‡</x:v>
      </x:c>
      <x:c r="D55" s="15" t="n">
        <x:v>2019</x:v>
      </x:c>
      <x:c r="E55" s="14" t="str"/>
      <x:c r="F55" s="14" t="str">
        <x:v>https://arxiv.org/abs/1902.05703</x:v>
      </x:c>
      <x:c r="G55" s="14" t="str">
        <x:v>Preprint / arXiv paper</x:v>
      </x:c>
      <x:c r="H55" s="14" t="str"/>
      <x:c r="I55" s="14" t="str"/>
      <x:c r="J55" s="14" t="str">
        <x:v>Existing evidence matrix</x:v>
      </x:c>
      <x:c r="K55" s="15" t="n">
        <x:v>1</x:v>
      </x:c>
      <x:c r="L55" s="14" t="str">
        <x:v>Yes</x:v>
      </x:c>
      <x:c r="M55" s="14" t="str">
        <x:v>Include</x:v>
      </x:c>
      <x:c r="N55" s="14" t="str">
        <x:v>Include</x:v>
      </x:c>
      <x:c r="O55" s="14" t="str">
        <x:v>Already retained in the 15-study evidence matrix</x:v>
      </x:c>
      <x:c r="P55" s="14" t="str">
        <x:v>Include</x:v>
      </x:c>
      <x:c r="Q55" s="14" t="str">
        <x:v>Yes</x:v>
      </x:c>
      <x:c r="R55" s="14" t="str">
        <x:v>Feuil1!3</x:v>
      </x:c>
      <x:c r="S55" s="14" t="str"/>
    </x:row>
    <x:row r="56">
      <x:c r="A56" s="14" t="str">
        <x:v>S055</x:v>
      </x:c>
      <x:c r="B56" s="14" t="str">
        <x:v>A Reliability-Aware Edge–Cloud Framework for Early Intrusion Detection in IoT Networks</x:v>
      </x:c>
      <x:c r="C56" s="14" t="str">
        <x:v>Siraj Azam, Farheen Naaz, Mikail Mohammed Salim</x:v>
      </x:c>
      <x:c r="D56" s="15" t="n">
        <x:v>2026</x:v>
      </x:c>
      <x:c r="E56" s="14" t="str"/>
      <x:c r="F56" s="14" t="str">
        <x:v>https://www.mdpi.com/2079-9292/15/16/3506</x:v>
      </x:c>
      <x:c r="G56" s="14" t="str">
        <x:v>Journal article / MDPI Electronics</x:v>
      </x:c>
      <x:c r="H56" s="14" t="str"/>
      <x:c r="I56" s="14" t="str"/>
      <x:c r="J56" s="14" t="str">
        <x:v>Existing evidence matrix</x:v>
      </x:c>
      <x:c r="K56" s="15" t="n">
        <x:v>1</x:v>
      </x:c>
      <x:c r="L56" s="14" t="str">
        <x:v>Yes</x:v>
      </x:c>
      <x:c r="M56" s="14" t="str">
        <x:v>Include</x:v>
      </x:c>
      <x:c r="N56" s="14" t="str">
        <x:v>Include</x:v>
      </x:c>
      <x:c r="O56" s="14" t="str">
        <x:v>Already retained in the 15-study evidence matrix</x:v>
      </x:c>
      <x:c r="P56" s="14" t="str">
        <x:v>Include</x:v>
      </x:c>
      <x:c r="Q56" s="14" t="str">
        <x:v>Yes</x:v>
      </x:c>
      <x:c r="R56" s="14" t="str">
        <x:v>Feuil1!4</x:v>
      </x:c>
      <x:c r="S56" s="14" t="str"/>
    </x:row>
    <x:row r="57">
      <x:c r="A57" s="14" t="str">
        <x:v>S056</x:v>
      </x:c>
      <x:c r="B57" s="14" t="str">
        <x:v>Mastering Multiple-Expert Routing: Realizable H-Consistency and Strong Guarantees for Learning to Defer</x:v>
      </x:c>
      <x:c r="C57" s="14" t="str">
        <x:v>Anqi Mao, Mehryar Mohri, Yutao Zhong</x:v>
      </x:c>
      <x:c r="D57" s="15" t="n">
        <x:v>2025</x:v>
      </x:c>
      <x:c r="E57" s="14" t="str"/>
      <x:c r="F57" s="14" t="str">
        <x:v>https://proceedings.mlr.press/v267/mao25c.html</x:v>
      </x:c>
      <x:c r="G57" s="14" t="str">
        <x:v>Machine learning theory conference paper</x:v>
      </x:c>
      <x:c r="H57" s="14" t="str"/>
      <x:c r="I57" s="14" t="str"/>
      <x:c r="J57" s="14" t="str">
        <x:v>Existing evidence matrix</x:v>
      </x:c>
      <x:c r="K57" s="15" t="n">
        <x:v>1</x:v>
      </x:c>
      <x:c r="L57" s="14" t="str">
        <x:v>Yes</x:v>
      </x:c>
      <x:c r="M57" s="14" t="str">
        <x:v>Include</x:v>
      </x:c>
      <x:c r="N57" s="14" t="str">
        <x:v>Include</x:v>
      </x:c>
      <x:c r="O57" s="14" t="str">
        <x:v>Already retained in the 15-study evidence matrix</x:v>
      </x:c>
      <x:c r="P57" s="14" t="str">
        <x:v>Include</x:v>
      </x:c>
      <x:c r="Q57" s="14" t="str">
        <x:v>Yes</x:v>
      </x:c>
      <x:c r="R57" s="14" t="str">
        <x:v>Feuil1!6</x:v>
      </x:c>
      <x:c r="S57" s="14" t="str"/>
    </x:row>
  </x:sheetData>
  <x:conditionalFormatting sqref="P2:P57">
    <x:cfRule type="containsText" dxfId="0" priority="1" operator="containsText" text="Include"/>
    <x:cfRule type="containsText" dxfId="1" priority="2" operator="containsText" text="Pending"/>
    <x:cfRule type="containsText" dxfId="2" priority="3" operator="containsText" text="Exclude"/>
  </x:conditionalFormatting>
  <x:dataValidations count="3">
    <x:dataValidation type="list" sqref="M2:M57">
      <x:formula1>"Include,Exclude,Pending"</x:formula1>
    </x:dataValidation>
    <x:dataValidation type="list" sqref="N2:N57">
      <x:formula1>"Include,Exclude,Pending"</x:formula1>
    </x:dataValidation>
    <x:dataValidation type="list" sqref="P2:P57">
      <x:formula1>"Include,Exclude,Pending"</x:formula1>
    </x:dataValidation>
  </x:dataValidations>
  <x:pageMargins left="0.7" right="0.7" top="0.75" bottom="0.75" header="0.3" footer="0.3"/>
</x:worksheet>
</file>

<file path=xl/worksheets/sheet3.xml><?xml version="1.0" encoding="utf-8"?>
<x:worksheet xmlns:x="http://schemas.openxmlformats.org/spreadsheetml/2006/main">
  <x:sheetPr>
    <x:tabColor rgb="FF0F6B78"/>
  </x:sheetPr>
  <x:sheetViews>
    <x:sheetView workbookViewId="0">
      <x:pane ySplit="1" topLeftCell="A2" activePane="bottomLeft" state="frozen"/>
    </x:sheetView>
  </x:sheetViews>
  <x:sheetFormatPr defaultRowHeight="15"/>
  <x:cols>
    <x:col min="1" max="1" width="12" hidden="0" customWidth="1"/>
    <x:col min="2" max="2" width="20" hidden="0" customWidth="1"/>
    <x:col min="3" max="3" width="65" hidden="0" customWidth="1"/>
    <x:col min="4" max="4" width="14" hidden="0" customWidth="1"/>
    <x:col min="5" max="5" width="14" hidden="0" customWidth="1"/>
    <x:col min="6" max="6" width="14" hidden="0" customWidth="1"/>
    <x:col min="7" max="7" width="14" hidden="0" customWidth="1"/>
    <x:col min="8" max="8" width="58" hidden="0" customWidth="1"/>
  </x:cols>
  <x:sheetData>
    <x:row r="1">
      <x:c r="A1" s="10" t="str">
        <x:v>Search ID</x:v>
      </x:c>
      <x:c r="B1" s="10" t="str">
        <x:v>Database</x:v>
      </x:c>
      <x:c r="C1" s="10" t="str">
        <x:v>Exact Query</x:v>
      </x:c>
      <x:c r="D1" s="10" t="str">
        <x:v>Year From</x:v>
      </x:c>
      <x:c r="E1" s="10" t="str">
        <x:v>Year To</x:v>
      </x:c>
      <x:c r="F1" s="10" t="str">
        <x:v>Raw Hits</x:v>
      </x:c>
      <x:c r="G1" s="10" t="str">
        <x:v>Search Date</x:v>
      </x:c>
      <x:c r="H1" s="10" t="str">
        <x:v>Notes</x:v>
      </x:c>
    </x:row>
    <x:row r="2">
      <x:c r="A2" s="14" t="str">
        <x:v>Q1</x:v>
      </x:c>
      <x:c r="B2" s="14" t="str">
        <x:v>Google Scholar</x:v>
      </x:c>
      <x:c r="C2" s="14" t="str">
        <x:v>"CAN bus" AND "masquerade attack" AND "LSTM"</x:v>
      </x:c>
      <x:c r="D2" s="15" t="n">
        <x:v>2021</x:v>
      </x:c>
      <x:c r="E2" s="15" t="n">
        <x:v>2026</x:v>
      </x:c>
      <x:c r="F2" s="15" t="n">
        <x:v>161</x:v>
      </x:c>
      <x:c r="G2" s="33" t="str">
        <x:v>2026-09-23</x:v>
      </x:c>
      <x:c r="H2" s="14" t="str">
        <x:v>Publish or Perish; maximum 200; citation and patent records were enabled and require exclusion during screening.</x:v>
      </x:c>
    </x:row>
    <x:row r="3">
      <x:c r="A3" s="14" t="str">
        <x:v>Q2</x:v>
      </x:c>
      <x:c r="B3" s="14" t="str">
        <x:v>Scopus</x:v>
      </x:c>
      <x:c r="C3" s="14" t="str">
        <x:v>("CAN bus" OR "V2X") AND "intrusion detection" AND "autoencoder"</x:v>
      </x:c>
      <x:c r="D3" s="15" t="n">
        <x:v>2021</x:v>
      </x:c>
      <x:c r="E3" s="15" t="n">
        <x:v>2026</x:v>
      </x:c>
      <x:c r="F3" s="15" t="n">
        <x:v>39</x:v>
      </x:c>
      <x:c r="G3" s="33" t="str">
        <x:v>2026-09-23</x:v>
      </x:c>
      <x:c r="H3" s="14" t="str">
        <x:v>Publish or Perish.</x:v>
      </x:c>
    </x:row>
    <x:row r="4">
      <x:c r="A4" s="14" t="str">
        <x:v>Q3</x:v>
      </x:c>
      <x:c r="B4" s="14" t="str">
        <x:v>Google Scholar</x:v>
      </x:c>
      <x:c r="C4" s="14" t="str">
        <x:v>"CAN bus cybersecurity" AND "intrusion detection" OR "V2C cybersecurity"</x:v>
      </x:c>
      <x:c r="D4" s="15" t="n">
        <x:v>2021</x:v>
      </x:c>
      <x:c r="E4" s="15" t="n">
        <x:v>2026</x:v>
      </x:c>
      <x:c r="F4" s="15" t="n">
        <x:v>15</x:v>
      </x:c>
      <x:c r="G4" s="33" t="str">
        <x:v>2026-09-23</x:v>
      </x:c>
      <x:c r="H4" s="14" t="str">
        <x:v>Publish or Perish; document exactly as executed. Parentheses should be added if this search is rerun; citation and patent records were enabled.</x:v>
      </x:c>
    </x:row>
    <x:row r="5">
      <x:c r="A5" s="14" t="str">
        <x:v>Q4</x:v>
      </x:c>
      <x:c r="B5" s="14" t="str">
        <x:v>OpenAlex</x:v>
      </x:c>
      <x:c r="C5" s="14" t="str">
        <x:v>"CAN bus cybersecurity" AND "intrusion detection"</x:v>
      </x:c>
      <x:c r="D5" s="15" t="n">
        <x:v>2021</x:v>
      </x:c>
      <x:c r="E5" s="15" t="n">
        <x:v>2026</x:v>
      </x:c>
      <x:c r="F5" s="15" t="n">
        <x:v>3</x:v>
      </x:c>
      <x:c r="G5" s="33" t="str">
        <x:v>2026-09-23</x:v>
      </x:c>
      <x:c r="H5" s="14" t="str">
        <x:v>Publish or Perish; maximum 1,000.</x:v>
      </x:c>
    </x:row>
    <x:row r="7">
      <x:c r="A7" s="35" t="str">
        <x:v>Reported total</x:v>
      </x:c>
      <x:c r="B7" s="35" t="str"/>
      <x:c r="C7" s="35" t="str"/>
      <x:c r="D7" s="35" t="str"/>
      <x:c r="E7" s="35" t="str"/>
      <x:c r="F7" s="35" t="n">
        <x:f>SUM(F2:F5)</x:f>
        <x:v>218</x:v>
      </x:c>
    </x:row>
  </x:sheetData>
  <x:mergeCells>
    <x:mergeCell ref="A7:E7"/>
  </x:mergeCells>
  <x:pageMargins left="0.7" right="0.7" top="0.75" bottom="0.75" header="0.3" footer="0.3"/>
</x:worksheet>
</file>

<file path=xl/worksheets/sheet4.xml><?xml version="1.0" encoding="utf-8"?>
<x:worksheet xmlns:x="http://schemas.openxmlformats.org/spreadsheetml/2006/main">
  <x:sheetPr>
    <x:tabColor rgb="FF70AD47"/>
  </x:sheetPr>
  <x:sheetViews>
    <x:sheetView workbookViewId="0">
      <x:pane xSplit="4" ySplit="1" topLeftCell="E2" activePane="bottomRight" state="frozen"/>
    </x:sheetView>
  </x:sheetViews>
  <x:sheetFormatPr defaultRowHeight="15"/>
  <x:cols>
    <x:col min="1" max="1" width="12" hidden="0" customWidth="1"/>
    <x:col min="2" max="2" width="12" hidden="0" customWidth="1"/>
    <x:col min="3" max="3" width="7" hidden="0" customWidth="1"/>
    <x:col min="4" max="4" width="52" hidden="0" customWidth="1"/>
    <x:col min="5" max="5" width="34" hidden="0" customWidth="1"/>
    <x:col min="6" max="6" width="9" hidden="0" customWidth="1"/>
    <x:col min="7" max="7" width="3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s>
  <x:sheetData>
    <x:row r="1">
      <x:c r="A1" s="10" t="str">
        <x:v>Source Sheet</x:v>
      </x:c>
      <x:c r="B1" s="10" t="str">
        <x:v>Source Row</x:v>
      </x:c>
      <x:c r="C1" s="10" t="str">
        <x:v>#</x:v>
      </x:c>
      <x:c r="D1" s="10" t="str">
        <x:v>Paper title</x:v>
      </x:c>
      <x:c r="E1" s="10" t="str">
        <x:v>Authors</x:v>
      </x:c>
      <x:c r="F1" s="10" t="str">
        <x:v>Year</x:v>
      </x:c>
      <x:c r="G1" s="10" t="str">
        <x:v>Link / DOI</x:v>
      </x:c>
      <x:c r="H1" s="10" t="str">
        <x:v>Source type</x:v>
      </x:c>
      <x:c r="I1" s="10" t="str">
        <x:v>Main problem</x:v>
      </x:c>
      <x:c r="J1" s="10" t="str">
        <x:v>System studied</x:v>
      </x:c>
      <x:c r="K1" s="10" t="str">
        <x:v>Attack type</x:v>
      </x:c>
      <x:c r="L1" s="10" t="str">
        <x:v>Dataset</x:v>
      </x:c>
      <x:c r="M1" s="10" t="str">
        <x:v>Real / simulated / mixed</x:v>
      </x:c>
      <x:c r="N1" s="10" t="str">
        <x:v>Detection model</x:v>
      </x:c>
      <x:c r="O1" s="10" t="str">
        <x:v>Local detector?</x:v>
      </x:c>
      <x:c r="P1" s="10" t="str">
        <x:v>Cloud detector?</x:v>
      </x:c>
      <x:c r="Q1" s="10" t="str">
        <x:v>Cloud offloading?</x:v>
      </x:c>
      <x:c r="R1" s="10" t="str">
        <x:v>Decides when to ask cloud?</x:v>
      </x:c>
      <x:c r="S1" s="10" t="str">
        <x:v>Considers delay?</x:v>
      </x:c>
      <x:c r="T1" s="10" t="str">
        <x:v>Uses alert deadline?</x:v>
      </x:c>
      <x:c r="U1" s="10" t="str">
        <x:v>False alarms measured?</x:v>
      </x:c>
      <x:c r="V1" s="10" t="str">
        <x:v>Detection delay measured?</x:v>
      </x:c>
      <x:c r="W1" s="10" t="str">
        <x:v>Event-level or window-level?</x:v>
      </x:c>
      <x:c r="X1" s="10" t="str">
        <x:v>Baselines</x:v>
      </x:c>
      <x:c r="Y1" s="10" t="str">
        <x:v>Metrics</x:v>
      </x:c>
      <x:c r="Z1" s="10" t="str">
        <x:v>Similar to our project</x:v>
      </x:c>
      <x:c r="AA1" s="10" t="str">
        <x:v>Different from our project</x:v>
      </x:c>
      <x:c r="AB1" s="10" t="str">
        <x:v>Gap left</x:v>
      </x:c>
      <x:c r="AC1" s="10" t="str">
        <x:v>Evidence location</x:v>
      </x:c>
      <x:c r="AD1" s="10" t="str">
        <x:v>Authors’ limitations</x:v>
      </x:c>
      <x:c r="AE1" s="10" t="str">
        <x:v>My interpretation</x:v>
      </x:c>
      <x:c r="AF1" s="10" t="str">
        <x:v>Keep?</x:v>
      </x:c>
      <x:c r="AG1" s="10" t="str">
        <x:v>Priority</x:v>
      </x:c>
      <x:c r="AH1" s="10" t="str">
        <x:v>Notes</x:v>
      </x:c>
    </x:row>
    <x:row r="2">
      <x:c r="A2" s="14" t="str">
        <x:v>Feuil1</x:v>
      </x:c>
      <x:c r="B2" s="14" t="n">
        <x:v>2</x:v>
      </x:c>
      <x:c r="C2" s="14" t="str">
        <x:v>1</x:v>
      </x:c>
      <x:c r="D2" s="36" t="str">
        <x:v>Cloud-based cyber-physical intrusion detection for vehicles using Deep Learning</x:v>
      </x:c>
      <x:c r="E2" s="14" t="str">
        <x:v>Loukas, George ORCID logo, Vuong, Tuan, Heartfield, Ryan, Sakellari, Georgia ORCID logo, Yoon, Yongpil and Gan, Diane</x:v>
      </x:c>
      <x:c r="F2" s="14" t="str">
        <x:v>2017</x:v>
      </x:c>
      <x:c r="G2" s="14" t="str">
        <x:v>https://gala.gre.ac.uk/id/eprint/18213/</x:v>
      </x:c>
      <x:c r="H2" s="14" t="str">
        <x:v>Article</x:v>
      </x:c>
      <x:c r="I2" s="14" t="str">
        <x:v>Vehicles have limited onboard computing power, so the paper studies using cloud/offloaded processing for stronger intrusion detection.</x:v>
      </x:c>
      <x:c r="J2" s="14" t="str">
        <x:v>Small four-wheel robotic land vehicle, not a real production car.</x:v>
      </x:c>
      <x:c r="K2" s="14" t="str">
        <x:v>Denial of service, command injection, and malware attacks.</x:v>
      </x:c>
      <x:c r="L2" s="14" t="str">
        <x:v>Their own robotic vehicle experimental data.</x:v>
      </x:c>
      <x:c r="M2" s="14" t="str">
        <x:v>Real tested data from a robotic vehicle; network scenarios include experimental/offloading configurations.</x:v>
      </x:c>
      <x:c r="N2" s="14" t="str">
        <x:v>Deep MLP and RNN with LSTM. The LSTM is used to learn temporal attack behavior.</x:v>
      </x:c>
      <x:c r="O2" s="14" t="str">
        <x:v>Yes, they compare onboard/local detection with offloaded detection. The paper explains onboard reasoning vs offloaded reasoning in Figure 1.</x:v>
      </x:c>
      <x:c r="P2" s="14" t="str">
        <x:v>Yes, detection can be offloaded to a powerful external/cloud system.</x:v>
      </x:c>
      <x:c r="Q2" s="14" t="str">
        <x:v>Yes. This is one of the core ideas of the paper.</x:v>
      </x:c>
      <x:c r="R2" s="14" t="str">
        <x:v>Partly / not like our project. They model when computation offloading is beneficial, but they do not build our kind of per-alert request policy for CAN masquerade confirmation.</x:v>
      </x:c>
      <x:c r="S2" s="14" t="str">
        <x:v>Yes. They use detection latency as the criterion and model when offloading reduces latency.</x:v>
      </x:c>
      <x:c r="T2" s="14" t="str">
        <x:v>Not clearly in our sense. They consider detection latency, but not a specific “cloud answer must arrive before alert deadline” policy like our guide.</x:v>
      </x:c>
      <x:c r="U2" s="14" t="str">
        <x:v>They define FP/FN through accuracy, but their main metric is accuracy, not false alarms per hour.</x:v>
      </x:c>
      <x:c r="V2" s="14" t="str">
        <x:v>Yes. They discuss detection latency and compare local vs offloaded settings.</x:v>
      </x:c>
      <x:c r="W2" s="14" t="str">
        <x:v>Mostly point/sample/classification-level, based on data points and attack/non-attack labels. Not clearly event-level like our project.</x:v>
      </x:c>
      <x:c r="X2" s="14" t="str">
        <x:v>Logistic Regression, Decision Tree C5.0, Random Forest, SVM radial, SVM linear, Deep MLP, Deep RNN.</x:v>
      </x:c>
      <x:c r="Y2" s="14" t="str">
        <x:v>Mainly accuracy; detection latency for offloading practicality.</x:v>
      </x:c>
      <x:c r="Z2" s="14" t="str">
        <x:v>Very close because it studies vehicle intrusion detection, deep learning, cloud/offloaded detection, and latency.</x:v>
      </x:c>
      <x:c r="AA2" s="14" t="str">
        <x:v>It is not specifically CAN masquerade detection, not ROAD dataset, not deadline-aware cloud confirmation, and not a policy deciding whether each suspicious case should ask the cloud.</x:v>
      </x:c>
      <x:c r="AB2" s="14" t="str">
        <x:v>Need to study CAN masquerade detection where the system asks the cloud only when the second opinion is expected to help and return before a deadline.</x:v>
      </x:c>
      <x:c r="AC2" s="14" t="str">
        <x:v>Abstract lines 6–34; Figure 1 / lines 312–319; offloading latency lines 5–13 from search result; tables II/III for baselines.</x:v>
      </x:c>
      <x:c r="AD2" s="14" t="str">
        <x:v>Offloading depends on onboard/remote resources and communication reliability.</x:v>
      </x:c>
      <x:c r="AE2" s="14" t="str">
        <x:v>This paper proves that cloud/offloaded vehicle IDS is not new. Our novelty cannot be “cloud IDS.” Our angle must be deadline-aware cloud confirmation for CAN masquerade detection.</x:v>
      </x:c>
      <x:c r="AF2" s="14" t="str">
        <x:v>Yes</x:v>
      </x:c>
      <x:c r="AG2" s="14" t="str">
        <x:v>High</x:v>
      </x:c>
      <x:c r="AH2" s="14" t="str">
        <x:v>This is one of the closest papers. It supports motivation but also creates novelty risk, so we must clearly show how our work is different.</x:v>
      </x:c>
    </x:row>
    <x:row r="3">
      <x:c r="A3" s="14" t="str">
        <x:v>Feuil1</x:v>
      </x:c>
      <x:c r="B3" s="14" t="n">
        <x:v>3</x:v>
      </x:c>
      <x:c r="C3" s="14" t="str">
        <x:v>2</x:v>
      </x:c>
      <x:c r="D3" s="36" t="str">
        <x:v>Network Offloading Policies for Cloud Robotics: a Learning-based Approach</x:v>
      </x:c>
      <x:c r="E3" s="14" t="str">
        <x:v>Sandeep Chinchali∗ , Apoorva Sharma‡ , James Harrison§ , Amine Elhafsi‡ , Daniel Kang∗ , Evgenya Pergament† , Eyal Cidon† , Sachin Katti∗†, Marco Pavone‡</x:v>
      </x:c>
      <x:c r="F3" s="14" t="str">
        <x:v>2019</x:v>
      </x:c>
      <x:c r="G3" s="14" t="str">
        <x:v>https://arxiv.org/abs/1902.05703</x:v>
      </x:c>
      <x:c r="H3" s="14" t="str">
        <x:v>Preprint / arXiv paper</x:v>
      </x:c>
      <x:c r="I3" s="14" t="str">
        <x:v>How and when robots should send tasks to the cloud to improve accuracy while reducing communication cost.</x:v>
      </x:c>
      <x:c r="J3" s="14" t="str">
        <x:v>Cloud robotics / mobile robots / drones / robotic perception.</x:v>
      </x:c>
      <x:c r="K3" s="14" t="str">
        <x:v>None. This is not a cybersecurity paper.</x:v>
      </x:c>
      <x:c r="L3" s="14" t="str">
        <x:v>Vision/video data for face detection; also synthetic streams and hardware experiments.</x:v>
      </x:c>
      <x:c r="M3" s="14" t="str">
        <x:v>Mixed: simulations + hardware experiments with real video streams.</x:v>
      </x:c>
      <x:c r="N3" s="14" t="str">
        <x:v>Local robot model + cloud model. For experiments, they use FaceNet + SVM locally and a stronger/human/cloud model remotely.</x:v>
      </x:c>
      <x:c r="O3" s="14" t="str">
        <x:v>Yes, but it is a local perception model, not an intrusion detector.</x:v>
      </x:c>
      <x:c r="P3" s="14" t="str">
        <x:v>Yes, a cloud/remote model gives more accurate predictions.</x:v>
      </x:c>
      <x:c r="Q3" s="14" t="str">
        <x:v>Yes. This is the core of the paper.</x:v>
      </x:c>
      <x:c r="R3" s="14" t="str">
        <x:v>Yes. The paper asks when the robot should offload to the cloud, especially when uncertain.</x:v>
      </x:c>
      <x:c r="S3" s="14" t="str">
        <x:v>Yes. It says cloud communication can create latency, data loss, and network congestion.</x:v>
      </x:c>
      <x:c r="T3" s="14" t="str">
        <x:v>No. It considers latency/cost, but not cybersecurity alert deadlines.</x:v>
      </x:c>
      <x:c r="U3" s="14" t="str">
        <x:v>No, not in the cybersecurity sense.</x:v>
      </x:c>
      <x:c r="V3" s="14" t="str">
        <x:v>Not attack detection delay. It studies communication/processing cost and offloading reward.</x:v>
      </x:c>
      <x:c r="W3" s="14" t="str">
        <x:v>Sequential time-step decision problem, not attack-event evaluation.</x:v>
      </x:c>
      <x:c r="X3" s="14" t="str">
        <x:v>Random sampling, robot-only, cloud-only, and robot-uncertainty-based sampling.</x:v>
      </x:c>
      <x:c r="Y3" s="14" t="str">
        <x:v>Reward, prediction accuracy/loss, offloading cost, query budget, comparison to baselines.</x:v>
      </x:c>
      <x:c r="Z3" s="14" t="str">
        <x:v>Very close for the decision logic: it decides when to use local model vs cloud model under limited communication.</x:v>
      </x:c>
      <x:c r="AA3" s="14" t="str">
        <x:v>It is not about vehicle cybersecurity, not CAN, not masquerade attacks, not ROAD dataset, and not deadline-based attack warning.</x:v>
      </x:c>
      <x:c r="AB3" s="14" t="str">
        <x:v>Need to adapt this kind of local/cloud decision idea to CAN masquerade intrusion detection with alert deadlines, false alarms, and event-level warning metrics.</x:v>
      </x:c>
      <x:c r="AC3" s="14" t="str">
        <x:v>Abstract lines 20–43; Figure 1 lines 78–84; problem statement lines 284–291; baselines lines 699–744.</x:v>
      </x:c>
      <x:c r="AD3" s="14" t="str">
        <x:v>The paper is framed for robotic perception/cloud robotics, not cybersecurity IDS. It focuses on prediction accuracy and communication cost, not attack warning correctness.</x:v>
      </x:c>
      <x:c r="AE3" s="14" t="str">
        <x:v>This paper proves that selective cloud help is not new. Our novelty cannot be “we decide when to use cloud.” Our novelty must be applying a deadline-aware cloud-confirmation policy to CAN masquerade detection with fair cybersecurity metrics.</x:v>
      </x:c>
      <x:c r="AF3" s="14" t="str">
        <x:v>Yes</x:v>
      </x:c>
      <x:c r="AG3" s="14" t="str">
        <x:v>High</x:v>
      </x:c>
      <x:c r="AH3" s="14" t="str">
        <x:v>This is very important for the decision-policy part of our work, even though it is not a security paper.</x:v>
      </x:c>
    </x:row>
    <x:row r="4">
      <x:c r="A4" s="14" t="str">
        <x:v>Feuil1</x:v>
      </x:c>
      <x:c r="B4" s="14" t="n">
        <x:v>4</x:v>
      </x:c>
      <x:c r="C4" s="14" t="str">
        <x:v>3</x:v>
      </x:c>
      <x:c r="D4" s="36" t="str">
        <x:v>A Reliability-Aware Edge–Cloud Framework for Early Intrusion Detection in IoT Networks</x:v>
      </x:c>
      <x:c r="E4" s="14" t="str">
        <x:v>Siraj Azam, Farheen Naaz, Mikail Mohammed Salim</x:v>
      </x:c>
      <x:c r="F4" s="14" t="str">
        <x:v>2026</x:v>
      </x:c>
      <x:c r="G4" s="14" t="str">
        <x:v>https://www.mdpi.com/2079-9292/15/16/3506</x:v>
      </x:c>
      <x:c r="H4" s="14" t="str">
        <x:v>Journal article / MDPI Electronics</x:v>
      </x:c>
      <x:c r="I4" s="14" t="str">
        <x:v>How to detect IoT attacks early at the edge, while deciding which uncertain flows should be sent to the cloud.</x:v>
      </x:c>
      <x:c r="J4" s="14" t="str">
        <x:v>IoT networks / edge gateway / cloud refinement</x:v>
      </x:c>
      <x:c r="K4" s="14" t="str">
        <x:v>General IoT network attacks, not CAN masquerade attacks.</x:v>
      </x:c>
      <x:c r="L4" s="14" t="str">
        <x:v>CIC-IoT-2023 mainly, with CICIDS2017 for cross-dataset validation.</x:v>
      </x:c>
      <x:c r="M4" s="14" t="str">
        <x:v>Dataset-based experimental evaluation, not live deployment.</x:v>
      </x:c>
      <x:c r="N4" s="14" t="str">
        <x:v>Edge GRU model + calibration + logistic regression cloud classifier.</x:v>
      </x:c>
      <x:c r="O4" s="14" t="str">
        <x:v>Yes. The edge gateway makes early local decisions.</x:v>
      </x:c>
      <x:c r="P4" s="14" t="str">
        <x:v>Yes. Unresolved cases are sent to cloud refinement.</x:v>
      </x:c>
      <x:c r="Q4" s="14" t="str">
        <x:v>Yes, but selectively: only unresolved flows are escalated to the cloud.</x:v>
      </x:c>
      <x:c r="R4" s="14" t="str">
        <x:v>Yes. Very close to our idea. It decides whether to exit locally, continue observing, or send to cloud.</x:v>
      </x:c>
      <x:c r="S4" s="14" t="str">
        <x:v>Partly. It studies early detection and observation budget, but not vehicle-cloud network latency/deadline like our project.</x:v>
      </x:c>
      <x:c r="T4" s="14" t="str">
        <x:v>No, not in the vehicle-warning sense. It uses packet checkpoints and observation budget, not attack-alert deadline.</x:v>
      </x:c>
      <x:c r="U4" s="14" t="str">
        <x:v>Yes. It reports FPR and FNR.</x:v>
      </x:c>
      <x:c r="V4" s="14" t="str">
        <x:v>It studies early detection by packet checkpoints / observation budget, not time-to-warning from attack onset.</x:v>
      </x:c>
      <x:c r="W4" s="14" t="str">
        <x:v>Flow-level / packet-prefix-level, not CAN attack episode-level.</x:v>
      </x:c>
      <x:c r="X4" s="14" t="str">
        <x:v>Matched causal CNN, LSTM-attention, temporal convolutional model, XGBoost edge models; also ablations.</x:v>
      </x:c>
      <x:c r="Y4" s="14" t="str">
        <x:v>FPR, FNR, balanced accuracy, F1, edge/cloud route share, observation budget, cloud submissions.</x:v>
      </x:c>
      <x:c r="Z4" s="14" t="str">
        <x:v>Very similar in the edge-cloud decision structure: local decision, continue observing, or send unresolved cases to cloud.</x:v>
      </x:c>
      <x:c r="AA4" s="14" t="str">
        <x:v>It is IoT flow intrusion detection, not vehicle CAN masquerade detection. It does not use ROAD, CAN messages, vehicle-cloud delay traces, or deadline-aware attack warnings.</x:v>
      </x:c>
      <x:c r="AB4" s="14" t="str">
        <x:v>Need to test the same kind of selective cloud-confirmation idea for CAN masquerade detection, with vehicle-specific timing, false alarms, cloud latency, and alert deadlines.</x:v>
      </x:c>
      <x:c r="AC4" s="14" t="str">
        <x:v>Abstract lines 23–43; method overview lines 127–145; routing workflow lines 290–333; routing rule lines 483–507.</x:v>
      </x:c>
      <x:c r="AD4" s="14" t="str">
        <x:v>They mention benign false alarms, delayed post-eight-packet information, cross-dataset shift, and scenario/file-level labels as limitations.</x:v>
      </x:c>
      <x:c r="AE4" s="14" t="str">
        <x:v>This is a dangerous article for our novelty because it already does selective edge-cloud IDS. Our work must be positioned as vehicle CAN masquerade + deadline-aware cloud confirmation, not just “edge-cloud IDS.”</x:v>
      </x:c>
      <x:c r="AF4" s="14" t="str">
        <x:v>Yes</x:v>
      </x:c>
      <x:c r="AG4" s="14" t="str">
        <x:v>Very high</x:v>
      </x:c>
      <x:c r="AH4" s="14" t="str">
        <x:v>This is probably one of the closest papers to our corrected idea. We must compare against it carefully.</x:v>
      </x:c>
    </x:row>
    <x:row r="5">
      <x:c r="A5" s="14" t="str">
        <x:v>Feuil1</x:v>
      </x:c>
      <x:c r="B5" s="14" t="n">
        <x:v>5</x:v>
      </x:c>
      <x:c r="C5" s="14" t="str">
        <x:v>4</x:v>
      </x:c>
      <x:c r="D5" s="36" t="str">
        <x:v>CANShield: Deep Learning-Based Intrusion Detection Framework for Controller Area Networks at the Signal-Level</x:v>
      </x:c>
      <x:c r="E5" s="14" t="str">
        <x:v>Md Hasan Shahriar, Yang Xiao, Pablo Moriano, Wenjing Lou, Y. Thomas Hou</x:v>
      </x:c>
      <x:c r="F5" s="14" t="str">
        <x:v>2023</x:v>
      </x:c>
      <x:c r="G5" s="14" t="str">
        <x:v>https://arxiv.org/abs/2205.01306</x:v>
      </x:c>
      <x:c r="H5" s="14" t="str">
        <x:v>Journal article / accepted IEEE IoT Journal manuscript</x:v>
      </x:c>
      <x:c r="I5" s="14" t="str">
        <x:v>Detect advanced CAN attacks that look normal at the CAN ID/timing level but manipulate signal values inside the payload.</x:v>
      </x:c>
      <x:c r="J5" s="14" t="str">
        <x:v>Vehicle CAN bus / in-vehicle network</x:v>
      </x:c>
      <x:c r="K5" s="14" t="str">
        <x:v>Fabrication, suspension, and masquerade attacks. Masquerade is described as silencing a legitimate ECU and spoofing it while injecting malicious messages.</x:v>
      </x:c>
      <x:c r="L5" s="14" t="str">
        <x:v>SynCAN and ROAD datasets.</x:v>
      </x:c>
      <x:c r="M5" s="14" t="str">
        <x:v>Mixed: SynCAN is synthetic/derived from actual CAN traces; ROAD is a realistic CAN attack dataset.</x:v>
      </x:c>
      <x:c r="N5" s="14" t="str">
        <x:v>CANShield: multiple CNN-based autoencoders working on signal-level CAN time-series views, with ensemble-based detection.</x:v>
      </x:c>
      <x:c r="O5" s="14" t="str">
        <x:v>Yes. It is designed to run onboard or on a gateway/OBD-II-connected device for near real-time detection.</x:v>
      </x:c>
      <x:c r="P5" s="14" t="str">
        <x:v>No for detection. Cloud/local computer may be used for training, but deployment uses loaded models onboard.</x:v>
      </x:c>
      <x:c r="Q5" s="14" t="str">
        <x:v>Not for detection decisions. It may send normal CAN traces to cloud/local computer for model training, but it does not ask cloud for a second opinion during detection.</x:v>
      </x:c>
      <x:c r="R5" s="14" t="str">
        <x:v>No.</x:v>
      </x:c>
      <x:c r="S5" s="14" t="str">
        <x:v>It considers responsiveness / near real-time detection, but not vehicle-cloud communication delay.</x:v>
      </x:c>
      <x:c r="T5" s="14" t="str">
        <x:v>No explicit cloud-alert deadline.</x:v>
      </x:c>
      <x:c r="U5" s="14" t="str">
        <x:v>Yes, low false positives are a design objective, and evaluation includes detection performance.</x:v>
      </x:c>
      <x:c r="V5" s="14" t="str">
        <x:v>Yes. The paper defines attack detection and event detection latency using first injected message and first detected message.</x:v>
      </x:c>
      <x:c r="W5" s="14" t="str">
        <x:v>It includes event detection latency, so it is closer to event-level evaluation than many ML-only papers.</x:v>
      </x:c>
      <x:c r="X5" s="14" t="str">
        <x:v>The paper compares CANShield with a baseline model and evaluates improvements on SynCAN and ROAD.</x:v>
      </x:c>
      <x:c r="Y5" s="14" t="str">
        <x:v>Accuracy / detection performance, responsiveness, false positives, detection latency.</x:v>
      </x:c>
      <x:c r="Z5" s="14" t="str">
        <x:v>Very close for the CAN masquerade detection part. It uses ROAD and signal-level temporal modeling, and it studies advanced CAN attacks.</x:v>
      </x:c>
      <x:c r="AA5" s="14" t="str">
        <x:v>It does not study cloud confirmation, request policy, communication latency, deadlines, or deciding whether a cloud second opinion is worth waiting for.</x:v>
      </x:c>
      <x:c r="AB5" s="14" t="str">
        <x:v>Need to study whether a second cloud detector can improve timely CAN masquerade warnings under communication delay and false-alarm constraints.</x:v>
      </x:c>
      <x:c r="AC5" s="14" t="str">
        <x:v>Abstract lines 8–32; attack model lines 440–469; workflow lines 393–432; dataset/evaluation lines 912–986.</x:v>
      </x:c>
      <x:c r="AD5" s="14" t="str">
        <x:v>From the visible source: it focuses on signal-level CAN IDS, not cloud-confirmation policy. It also needs decoded signal-level data/DBC or reverse engineering, which may be difficult in practice.</x:v>
      </x:c>
      <x:c r="AE5" s="14" t="str">
        <x:v>This paper is dangerous for the detector novelty: advanced CAN detection already exists. Our novelty should not be “using AI to detect CAN attacks.” Our novelty should be deadline-aware cloud confirmation using local and cloud detectors.</x:v>
      </x:c>
      <x:c r="AF5" s="14" t="str">
        <x:v>Yes</x:v>
      </x:c>
      <x:c r="AG5" s="14" t="str">
        <x:v>Very high</x:v>
      </x:c>
      <x:c r="AH5" s="14" t="str">
        <x:v>This is the strongest CAN-detection reference. It can be used as inspiration for the cloud/second detector, but we must not claim that signal-level deep CAN detection itself is new.</x:v>
      </x:c>
    </x:row>
    <x:row r="6">
      <x:c r="A6" s="14" t="str">
        <x:v>Feuil1</x:v>
      </x:c>
      <x:c r="B6" s="14" t="n">
        <x:v>6</x:v>
      </x:c>
      <x:c r="C6" s="14" t="str">
        <x:v>5</x:v>
      </x:c>
      <x:c r="D6" s="36" t="str">
        <x:v>Mastering Multiple-Expert Routing: Realizable H-Consistency and Strong Guarantees for Learning to Defer</x:v>
      </x:c>
      <x:c r="E6" s="14" t="str">
        <x:v>Anqi Mao, Mehryar Mohri, Yutao Zhong</x:v>
      </x:c>
      <x:c r="F6" s="14" t="str">
        <x:v>2025</x:v>
      </x:c>
      <x:c r="G6" s="14" t="str">
        <x:v>https://proceedings.mlr.press/v267/mao25c.html</x:v>
      </x:c>
      <x:c r="H6" s="14" t="str">
        <x:v>Machine learning theory conference paper</x:v>
      </x:c>
      <x:c r="I6" s="14" t="str">
        <x:v>How to assign each input to the best expert while balancing accuracy and computational cost.</x:v>
      </x:c>
      <x:c r="J6" s="14" t="str">
        <x:v>General machine learning expert-routing / learning-to-defer system</x:v>
      </x:c>
      <x:c r="K6" s="14" t="str">
        <x:v>None. This is not a cybersecurity paper.</x:v>
      </x:c>
      <x:c r="L6" s="14" t="str">
        <x:v>CIFAR-10, CIFAR-100, SVHN, Tiny ImageNet, plus synthetic Mixture-of-Gaussians experiments.</x:v>
      </x:c>
      <x:c r="M6" s="14" t="str">
        <x:v>Mixed: standard image datasets + synthetic experiments.</x:v>
      </x:c>
      <x:c r="N6" s="14" t="str">
        <x:v>Not an intrusion detector. It proposes surrogate losses and algorithms for routing to multiple experts.</x:v>
      </x:c>
      <x:c r="O6" s="14" t="str">
        <x:v>Conceptually yes: the system may have a predictor and several experts, but not in a vehicle/IDS sense.</x:v>
      </x:c>
      <x:c r="P6" s="14" t="str">
        <x:v>Not directly. Experts can be humans or pretrained models, including expensive models, but the paper is not about cloud detection.</x:v>
      </x:c>
      <x:c r="Q6" s="14" t="str">
        <x:v>No direct cloud-offloading experiment. It is about expert routing / deferral.</x:v>
      </x:c>
      <x:c r="R6" s="14" t="str">
        <x:v>Conceptually yes, if we treat the cloud model as one expert. The paper studies how to defer uncertain inputs to suitable experts.</x:v>
      </x:c>
      <x:c r="S6" s="14" t="str">
        <x:v>Only computational cost in a general sense, not communication latency or vehicle-cloud delay.</x:v>
      </x:c>
      <x:c r="T6" s="14" t="str">
        <x:v>No.</x:v>
      </x:c>
      <x:c r="U6" s="14" t="str">
        <x:v>No cybersecurity false alarms.</x:v>
      </x:c>
      <x:c r="V6" s="14" t="str">
        <x:v>No.</x:v>
      </x:c>
      <x:c r="W6" s="14" t="str">
        <x:v>Instance-level expert routing/classification.</x:v>
      </x:c>
      <x:c r="X6" s="14" t="str">
        <x:v>Previous learning-to-defer surrogate methods, especially Verma et al. 2023, Mao et al. 2024a, and Mao et al. 2023a.</x:v>
      </x:c>
      <x:c r="Y6" s="14" t="str">
        <x:v>System accuracy, deferral ratio to predictor/expert 1/expert 2/expert 3.</x:v>
      </x:c>
      <x:c r="Z6" s="14" t="str">
        <x:v>Useful for the decision policy idea: when should a system decide by itself and when should it defer to another expert/model?</x:v>
      </x:c>
      <x:c r="AA6" s="14" t="str">
        <x:v>It is theory-heavy, not about CAN, vehicles, cybersecurity, ROAD, cloud latency, or timely attack warnings.</x:v>
      </x:c>
      <x:c r="AB6" s="14" t="str">
        <x:v>Need to translate learning-to-defer into a practical vehicle IDS setting with local detector, cloud detector, communication delay, request budget, and alert deadline.</x:v>
      </x:c>
      <x:c r="AC6" s="14" t="str">
        <x:v>Abstract; introduction; deferral setup; experiments.</x:v>
      </x:c>
      <x:c r="AD6" s="14" t="str">
        <x:v>Future work calls for more empirical analysis in real-world settings and more realistic cases where expert predictions may be unavailable during training.</x:v>
      </x:c>
      <x:c r="AE6" s="14" t="str">
        <x:v>Useful as a theoretical reference for routing/defer-to-expert, but not a direct competitor in vehicle cybersecurity.</x:v>
      </x:c>
      <x:c r="AF6" s="14" t="str">
        <x:v>Yes</x:v>
      </x:c>
      <x:c r="AG6" s="14" t="str">
        <x:v>Medium / High</x:v>
      </x:c>
      <x:c r="AH6" s="14" t="str">
        <x:v>Use it to justify that asking another expert/model is a known ML decision problem. Our novelty is applying this to deadline-aware cloud confirmation for CAN masquerade detection.</x:v>
      </x:c>
    </x:row>
    <x:row r="7">
      <x:c r="A7" s="14" t="str">
        <x:v>Feuil2</x:v>
      </x:c>
      <x:c r="B7" s="14" t="n">
        <x:v>2</x:v>
      </x:c>
      <x:c r="C7" s="14" t="str">
        <x:v>1</x:v>
      </x:c>
      <x:c r="D7" s="36" t="str">
        <x:v>A Comprehensive Guide to CAN IDS Data &amp; Introduction of the ROAD Dataset</x:v>
      </x:c>
      <x:c r="E7" s="14" t="str">
        <x:v>Miki E. Verma, Robert A. Bridges, Michael D. Iannacone, Samuel C. Hollifield, Pablo Moriano, Steven C. Hespeler, Bill Kay, Frank L. Combs</x:v>
      </x:c>
      <x:c r="F7" s="14" t="str">
        <x:v>2024</x:v>
      </x:c>
      <x:c r="G7" s="14" t="str">
        <x:v>https://arxiv.org/abs/2012.14600</x:v>
      </x:c>
      <x:c r="H7" s="14" t="str">
        <x:v>Journal article (PLOS ONE); originally arXiv preprint 2020, revised through 2024</x:v>
      </x:c>
      <x:c r="I7" s="14" t="str">
        <x:v>Lack of comparability and appropriate testing data in CAN IDS research; introduces a comprehensive guide to existing CAN IDS datasets and presents the new ROAD dataset to fix this.</x:v>
      </x:c>
      <x:c r="J7" s="14" t="str">
        <x:v>General CAN IDS research field; ROAD dataset collected from a single real vehicle on a dynamometer.</x:v>
      </x:c>
      <x:c r="K7" s="14" t="str">
        <x:v>Fabrication (real fuzzing), unique advanced/accelerator attacks, and masquerade attacks (post-processed/simulated by removing legitimate frames before injection to avoid message confliction).</x:v>
      </x:c>
      <x:c r="L7" s="14" t="str">
        <x:v>ROAD (their own dataset, 3.5+ hours) plus a full survey/comparison of prior public CAN datasets (SynCAN, OTIDS, Car-Hacking, Survival Analysis dataset, CrySyS, etc.).</x:v>
      </x:c>
      <x:c r="M7" s="14" t="str">
        <x:v>Mixed: real ambient CAN data and real fuzzing/fabrication attacks; masquerade attacks are carefully post-processed/simulated (not organically executed) to avoid bus-collision artifacts.</x:v>
      </x:c>
      <x:c r="N7" s="14" t="str">
        <x:v>None proposed. This is a dataset/benchmark paper, not a detector paper.</x:v>
      </x:c>
      <x:c r="O7" s="14" t="str">
        <x:v>N/A – no detector is proposed.</x:v>
      </x:c>
      <x:c r="P7" s="14" t="str">
        <x:v>No.</x:v>
      </x:c>
      <x:c r="Q7" s="14" t="str">
        <x:v>No.</x:v>
      </x:c>
      <x:c r="R7" s="14" t="str">
        <x:v>No.</x:v>
      </x:c>
      <x:c r="S7" s="14" t="str">
        <x:v>No.</x:v>
      </x:c>
      <x:c r="T7" s="14" t="str">
        <x:v>No.</x:v>
      </x:c>
      <x:c r="U7" s="14" t="str">
        <x:v>No, not applicable (no detector).</x:v>
      </x:c>
      <x:c r="V7" s="14" t="str">
        <x:v>No.</x:v>
      </x:c>
      <x:c r="W7" s="14" t="str">
        <x:v>N/A.</x:v>
      </x:c>
      <x:c r="X7" s="14" t="str">
        <x:v>N/A – instead of model baselines, it benchmarks/compares datasets against each other on quality criteria.</x:v>
      </x:c>
      <x:c r="Y7" s="14" t="str">
        <x:v>Data-quality criteria: real vs. simulated CAN data, real vs. simulated attacks, raw vs. signal-translated format, number of vehicles/CANs, duration, suggested use case.</x:v>
      </x:c>
      <x:c r="Z7" s="14" t="str">
        <x:v>Foundational: ROAD is exactly the kind of high-fidelity masquerade dataset our project would need; its careful treatment of the masquerade message-confliction problem is directly relevant to how we would construct or select masquerade attack traces.</x:v>
      </x:c>
      <x:c r="AA7" s="14" t="str">
        <x:v>No detector, no cloud, no offloading, no latency/deadline concept whatsoever – it is purely a dataset contribution.</x:v>
      </x:c>
      <x:c r="AB7" s="14" t="str">
        <x:v>Does not build any detection or cloud-confirmation mechanism; simply supplies the data infrastructure other papers (including several others in this table) build on.</x:v>
      </x:c>
      <x:c r="AC7" s="14" t="str">
        <x:v>Abstract; Section on dataset comparison criteria; ROAD dataset description and masquerade post-processing methodology (message-confliction removal).</x:v>
      </x:c>
      <x:c r="AD7" s="14" t="str">
        <x:v>Only one physical vehicle used for ROAD; masquerade attacks are simulated/post-processed rather than fully organically executed; limited diversity of driving scenarios per the authors' own framing.</x:v>
      </x:c>
      <x:c r="AE7" s="14" t="str">
        <x:v>This is not a competitor to our novelty at all — it is the dataset foundation. It should be cited as our primary CAN masquerade data source (ROAD) rather than treated as a novelty risk.</x:v>
      </x:c>
      <x:c r="AF7" s="14" t="str">
        <x:v>Yes</x:v>
      </x:c>
      <x:c r="AG7" s="14" t="str">
        <x:v>High</x:v>
      </x:c>
      <x:c r="AH7" s="14" t="str">
        <x:v>Foundational reference only – cite as our dataset source (ROAD), not as a competing detection or cloud-confirmation approach.</x:v>
      </x:c>
    </x:row>
    <x:row r="8">
      <x:c r="A8" s="14" t="str">
        <x:v>Feuil2</x:v>
      </x:c>
      <x:c r="B8" s="14" t="n">
        <x:v>3</x:v>
      </x:c>
      <x:c r="C8" s="14" t="str">
        <x:v>2</x:v>
      </x:c>
      <x:c r="D8" s="36" t="str">
        <x:v>Detecting CAN Masquerade Attacks with Signal Clustering Similarity</x:v>
      </x:c>
      <x:c r="E8" s="14" t="str">
        <x:v>Pablo A. Moriano, Robert A. Bridges, Michael D. Iannacone</x:v>
      </x:c>
      <x:c r="F8" s="14" t="str">
        <x:v>2022</x:v>
      </x:c>
      <x:c r="G8" s="14" t="str">
        <x:v>https://www.ndss-symposium.org/wp-content/uploads/autosec2022_23028_paper.pdf</x:v>
      </x:c>
      <x:c r="H8" s="14" t="str">
        <x:v>Workshop paper (NDSS AutoSec 2022) — Best Paper Award</x:v>
      </x:c>
      <x:c r="I8" s="14" t="str">
        <x:v>Detect masquerade attacks by measuring changes in the clustering similarity of CAN signal time series between benign and attack conditions.</x:v>
      </x:c>
      <x:c r="J8" s="14" t="str">
        <x:v>Vehicle CAN bus; evaluated using the ROAD dataset (real vehicle on dynamometer).</x:v>
      </x:c>
      <x:c r="K8" s="14" t="str">
        <x:v>Masquerade attacks of varying sophistication levels.</x:v>
      </x:c>
      <x:c r="L8" s="14" t="str">
        <x:v>ROAD dataset.</x:v>
      </x:c>
      <x:c r="M8" s="14" t="str">
        <x:v>Real CAN data with ROAD's post-processed/simulated masquerade attacks.</x:v>
      </x:c>
      <x:c r="N8" s="14" t="str">
        <x:v>Hierarchical clustering of CAN signal time series (reverse-engineered signals via their CAN-D decoder), comparing clustering similarity across benign vs. attack captures; delivered as a forensic proof-of-concept tool.</x:v>
      </x:c>
      <x:c r="O8" s="14" t="str">
        <x:v>Framed as a forensic/offline analysis tool rather than an onboard real-time detector; the paper explicitly calls for future work to make it a real-time IDS.</x:v>
      </x:c>
      <x:c r="P8" s="14" t="str">
        <x:v>No.</x:v>
      </x:c>
      <x:c r="Q8" s="14" t="str">
        <x:v>No.</x:v>
      </x:c>
      <x:c r="R8" s="14" t="str">
        <x:v>No.</x:v>
      </x:c>
      <x:c r="S8" s="14" t="str">
        <x:v>No — analysis is offline/forensic, not concerned with communication delay.</x:v>
      </x:c>
      <x:c r="T8" s="14" t="str">
        <x:v>No.</x:v>
      </x:c>
      <x:c r="U8" s="14" t="str">
        <x:v>Not reported as false-alarm rate; evaluated via statistical significance (differences between benign and attack cluster-similarity distributions).</x:v>
      </x:c>
      <x:c r="V8" s="14" t="str">
        <x:v>No — explicitly NOT a real-time detector; timing/latency is not evaluated. The conclusion states real-time IDS development is future work.</x:v>
      </x:c>
      <x:c r="W8" s="14" t="str">
        <x:v>Window-level: clustering similarity computed over CAN capture windows, not per discrete attack event.</x:v>
      </x:c>
      <x:c r="X8" s="14" t="str">
        <x:v>No formal ML baselines; compares benign-condition vs. attack-condition clustering similarity distributions directly.</x:v>
      </x:c>
      <x:c r="Y8" s="14" t="str">
        <x:v>Statistical significance of similarity differences between benign and attack conditions (hierarchical clustering parameters).</x:v>
      </x:c>
      <x:c r="Z8" s="14" t="str">
        <x:v>Directly relevant: same problem (CAN masquerade), same dataset (ROAD), and the authors explicitly flag real-time/edge deployment as the open next step — which overlaps with our motivation.</x:v>
      </x:c>
      <x:c r="AA8" s="14" t="str">
        <x:v>Purely offline forensic analysis; no cloud, no local/cloud split, no deadline, no communication-delay modeling, no false-alarm-per-hour framing.</x:v>
      </x:c>
      <x:c r="AB8" s="14" t="str">
        <x:v>The paper itself identifies the gap: turning this offline forensic clustering method into a real-time, edge-deployable IDS. It does not, however, anticipate a cloud-assisted, deadline-aware confirmation architecture.</x:v>
      </x:c>
      <x:c r="AC8" s="14" t="str">
        <x:v>Abstract; Section VI (Conclusion) explicitly lists 'development of a real-time IDS' and 'translation to edge computing devices' as future work.</x:v>
      </x:c>
      <x:c r="AD8" s="14" t="str">
        <x:v>Authors themselves state the two main limitations: (1) not yet real-time, (2) not yet adapted to edge computing devices integrated with real-world vehicle conditions.</x:v>
      </x:c>
      <x:c r="AE8" s="14" t="str">
        <x:v>This paper strengthens our motivation rather than threatening our novelty: it proves masquerade is detectable via signal clustering, and its authors explicitly leave 'real-time' and 'edge' as open work — exactly the space our deadline-aware cloud-confirmation idea could occupy.</x:v>
      </x:c>
      <x:c r="AF8" s="14" t="str">
        <x:v>Yes</x:v>
      </x:c>
      <x:c r="AG8" s="14" t="str">
        <x:v>High</x:v>
      </x:c>
      <x:c r="AH8" s="14" t="str">
        <x:v>Good candidate as one possible 'local/offline detection principle' to build on; strong motivational citation for why real-time + edge/cloud extension of masquerade detection is still an open problem.</x:v>
      </x:c>
    </x:row>
    <x:row r="9">
      <x:c r="A9" s="14" t="str">
        <x:v>Feuil2</x:v>
      </x:c>
      <x:c r="B9" s="14" t="n">
        <x:v>4</x:v>
      </x:c>
      <x:c r="C9" s="14" t="str">
        <x:v>3</x:v>
      </x:c>
      <x:c r="D9" s="36" t="str">
        <x:v>Detecting Masquerade Attacks in Controller Area Networks Using Graph Machine Learning</x:v>
      </x:c>
      <x:c r="E9" s="14" t="str">
        <x:v>William Marfo, Pablo Moriano, Deepak K. Tosh, Shirley V. Moore</x:v>
      </x:c>
      <x:c r="F9" s="14" t="str">
        <x:v>2024</x:v>
      </x:c>
      <x:c r="G9" s="14" t="str">
        <x:v>https://arxiv.org/abs/2408.05427</x:v>
      </x:c>
      <x:c r="H9" s="14" t="str">
        <x:v>Journal article (arXiv preprint + peer-reviewed journal version)</x:v>
      </x:c>
      <x:c r="I9" s="14" t="str">
        <x:v>Detect masquerade attacks by representing CAN traffic as Message Sequence Graphs (MSGs) enriched with time-series statistical node attributes, combining shallow graph embeddings with temporal features.</x:v>
      </x:c>
      <x:c r="J9" s="14" t="str">
        <x:v>Vehicle CAN bus; evaluated on the ROAD dataset.</x:v>
      </x:c>
      <x:c r="K9" s="14" t="str">
        <x:v>Masquerade attacks (various patterns).</x:v>
      </x:c>
      <x:c r="L9" s="14" t="str">
        <x:v>ROAD dataset.</x:v>
      </x:c>
      <x:c r="M9" s="14" t="str">
        <x:v>Real CAN data with ROAD's masquerade attacks.</x:v>
      </x:c>
      <x:c r="N9" s="14" t="str">
        <x:v>Message Sequence Graphs (nodes = CAN arbitration IDs, edges = chronological/frequency-weighted message sequences) + shallow graph embeddings enriched with rolling time-series statistics (mean, variance, std of payload-derived signals); graph ML classifier.</x:v>
      </x:c>
      <x:c r="O9" s="14" t="str">
        <x:v>Implicitly onboard/offline detection (graph built over sliding windows of local CAN traffic); not explicitly split into local vs. cloud.</x:v>
      </x:c>
      <x:c r="P9" s="14" t="str">
        <x:v>No.</x:v>
      </x:c>
      <x:c r="Q9" s="14" t="str">
        <x:v>No.</x:v>
      </x:c>
      <x:c r="R9" s="14" t="str">
        <x:v>No.</x:v>
      </x:c>
      <x:c r="S9" s="14" t="str">
        <x:v>No — latency/communication delay not discussed.</x:v>
      </x:c>
      <x:c r="T9" s="14" t="str">
        <x:v>No.</x:v>
      </x:c>
      <x:c r="U9" s="14" t="str">
        <x:v>Not reported as false-alarm-per-hour; evaluated via detection-rate improvements with statistical significance (Mann-Whitney U and Kolmogorov-Smirnov tests, p&lt;0.05).</x:v>
      </x:c>
      <x:c r="V9" s="14" t="str">
        <x:v>Not clearly measured — focus is on detection-rate accuracy, not time-to-detect or inference latency.</x:v>
      </x:c>
      <x:c r="W9" s="14" t="str">
        <x:v>Window-level: MSGs are constructed using a sliding window with parameters window size (ω) and offset (δ).</x:v>
      </x:c>
      <x:c r="X9" s="14" t="str">
        <x:v>Baseline = graph-topology-only features (without the time-series node enrichment), used to show the enrichment's added value.</x:v>
      </x:c>
      <x:c r="Y9" s="14" t="str">
        <x:v>Detection-rate improvements over the graph-only baseline; statistical significance testing (p&lt;0.05).</x:v>
      </x:c>
      <x:c r="Z9" s="14" t="str">
        <x:v>Directly relevant: masquerade detection on ROAD using a windowed methodology — the same dataset and windowing concept our project would need for event/window-level evaluation.</x:v>
      </x:c>
      <x:c r="AA9" s="14" t="str">
        <x:v>No cloud, no latency/deadline discussion, no false-alarm-per-hour framing; purely an accuracy-focused, single-tier detector comparison.</x:v>
      </x:c>
      <x:c r="AB9" s="14" t="str">
        <x:v>Does not address computational cost or latency of graph construction/training for real-time onboard use, nor whether escalating uncertain graph-based verdicts to a stronger cloud model would help under communication delay.</x:v>
      </x:c>
      <x:c r="AC9" s="14" t="str">
        <x:v>Abstract; Methodology (MSG construction, sliding-window parameters); Experiments on ROAD dataset.</x:v>
      </x:c>
      <x:c r="AD9" s="14" t="str">
        <x:v>Not explicitly discussed in the retrieved abstract/summary; computational overhead of graph construction/training in a real-time onboard setting is not addressed.</x:v>
      </x:c>
      <x:c r="AE9" s="14" t="str">
        <x:v>Another strong, ROAD-based masquerade detector, but entirely orthogonal to the cloud/latency/deadline angle — reinforces that our specific niche (deadline-aware cloud confirmation) remains open. Could serve as a candidate 'local detector' building block in our architecture.</x:v>
      </x:c>
      <x:c r="AF9" s="14" t="str">
        <x:v>Yes</x:v>
      </x:c>
      <x:c r="AG9" s="14" t="str">
        <x:v>High</x:v>
      </x:c>
      <x:c r="AH9" s="14" t="str">
        <x:v>Consider as a candidate onboard/local detector to pair with a cloud second-opinion layer in our proposed architecture.</x:v>
      </x:c>
    </x:row>
    <x:row r="10">
      <x:c r="A10" s="14" t="str">
        <x:v>Feuil2</x:v>
      </x:c>
      <x:c r="B10" s="14" t="n">
        <x:v>5</x:v>
      </x:c>
      <x:c r="C10" s="14" t="str">
        <x:v>4</x:v>
      </x:c>
      <x:c r="D10" s="36" t="str">
        <x:v>MIDS: Detecting Stealthy Masquerade and Tampering Attacks on CAN Bus via Bidirectional Mamba</x:v>
      </x:c>
      <x:c r="E10" s="14" t="str">
        <x:v>Qiqi Liu, Runhan Song, Lei Cui, Heng Zhang, Yuyan Sun, Limin Sun</x:v>
      </x:c>
      <x:c r="F10" s="14" t="str">
        <x:v>2026</x:v>
      </x:c>
      <x:c r="G10" s="14" t="str">
        <x:v>https://arxiv.org/abs/2606.18599</x:v>
      </x:c>
      <x:c r="H10" s="14" t="str">
        <x:v>arXiv preprint (cs.AI)</x:v>
      </x:c>
      <x:c r="I10" s="14" t="str">
        <x:v>Detect stealthy masquerade and tampering attacks by jointly modeling CAN ID and payload semantics over time, using a dual-stream bidirectional Mamba state-space model.</x:v>
      </x:c>
      <x:c r="J10" s="14" t="str">
        <x:v>Vehicle CAN bus; real physical Tesla Model 3 across three driving regimes, plus four public benchmarks.</x:v>
      </x:c>
      <x:c r="K10" s="14" t="str">
        <x:v>Masquerade and tampering attacks: ID-only, data-only, and combined modifications (54 synthesized variants).</x:v>
      </x:c>
      <x:c r="L10" s="14" t="str">
        <x:v>Own dataset: 100M+ CAN frames from a physical Tesla Model 3; also evaluated on ROAD, CrySyS, OTIDS, and CT&amp;T public benchmarks.</x:v>
      </x:c>
      <x:c r="M10" s="14" t="str">
        <x:v>Mixed: real Tesla CAN traffic with synthesized/injected masquerade variants; real+public benchmark data for generalization tests.</x:v>
      </x:c>
      <x:c r="N10" s="14" t="str">
        <x:v>Bidirectional Mamba (selective state-space model), dual-stream architecture processing CAN IDs and payloads in parallel and reconstructing their joint temporal semantics.</x:v>
      </x:c>
      <x:c r="O10" s="14" t="str">
        <x:v>Yes — explicitly designed and evaluated for real-time onboard deployment, with 1.147ms single-window inference latency reported as 'ample headroom for real-time onboard deployment.'</x:v>
      </x:c>
      <x:c r="P10" s="14" t="str">
        <x:v>No.</x:v>
      </x:c>
      <x:c r="Q10" s="14" t="str">
        <x:v>No.</x:v>
      </x:c>
      <x:c r="R10" s="14" t="str">
        <x:v>No — no decision logic to escalate to a second (cloud) opinion.</x:v>
      </x:c>
      <x:c r="S10" s="14" t="str">
        <x:v>Only inference/compute latency is considered, not vehicle-to-cloud network/communication delay.</x:v>
      </x:c>
      <x:c r="T10" s="14" t="str">
        <x:v>No explicit deadline framework — latency is reported as a design/performance metric, not tied to any alert-deadline policy.</x:v>
      </x:c>
      <x:c r="U10" s="14" t="str">
        <x:v>Reported via F1 score (implying precision/recall trade-off), not framed as 'false alarms per hour.'</x:v>
      </x:c>
      <x:c r="V10" s="14" t="str">
        <x:v>Yes — precise single-window inference latency reported (1.147ms on their own dataset).</x:v>
      </x:c>
      <x:c r="W10" s="14" t="str">
        <x:v>Window-level: single-window inference latency and detection reported per window, not per full attack episode.</x:v>
      </x:c>
      <x:c r="X10" s="14" t="str">
        <x:v>Eight reproduced baselines across four public benchmarks (ROAD, CrySyS, OTIDS, CT&amp;T), plus the 'strongest reproducible baseline' on their own dataset.</x:v>
      </x:c>
      <x:c r="Y10" s="14" t="str">
        <x:v>F1 score (96.94% on own Tesla dataset; 93.70%–99.61% across public benchmarks), single-window inference latency (1.147ms).</x:v>
      </x:c>
      <x:c r="Z10" s="14" t="str">
        <x:v>Extremely close on the pure detection side: state-of-the-art onboard masquerade/tampering detector, evaluated on real vehicle data, with latency explicitly reported — this is the strongest 'local detector' candidate found so far.</x:v>
      </x:c>
      <x:c r="AA10" s="14" t="str">
        <x:v>Single-tier, onboard-only detection; no cloud second opinion, no communication-delay modeling, no deadline-based escalation decision, no false-alarm-budget framing.</x:v>
      </x:c>
      <x:c r="AB10" s="14" t="str">
        <x:v>Does not explore whether an uncertain/borderline verdict from MIDS could be escalated to a stronger cloud-side model under a communication-delay/deadline constraint to further reduce residual errors — exactly our project's angle.</x:v>
      </x:c>
      <x:c r="AC10" s="14" t="str">
        <x:v>Abstract (headline F1 and latency figures); dataset/evaluation description (Tesla Model 3 collection, four public benchmarks).</x:v>
      </x:c>
      <x:c r="AD10" s="14" t="str">
        <x:v>Not explicitly stated as limitations in the retrieved abstract; being a very recent (2026) and strong result, it must be treated carefully as a novelty risk for any 'new masquerade detector' claim.</x:v>
      </x:c>
      <x:c r="AE10" s="14" t="str">
        <x:v>This is now the single closest and most dangerous paper for pure-detection novelty. Our contribution cannot be 'a better masquerade detector' — it must be the deadline-aware cloud-confirmation architecture wrapped around a detector like this one (or similar), explicitly differentiated from MIDS's onboard-only design.</x:v>
      </x:c>
      <x:c r="AF10" s="14" t="str">
        <x:v>Yes</x:v>
      </x:c>
      <x:c r="AG10" s="14" t="str">
        <x:v>Very high</x:v>
      </x:c>
      <x:c r="AH10" s="14" t="str">
        <x:v>Must be explicitly cited and differentiated in the related-work section — this is the strongest recent onboard masquerade detector we have found; do not claim 'a new/better masquerade detector' as our contribution.</x:v>
      </x:c>
    </x:row>
    <x:row r="11">
      <x:c r="A11" s="14" t="str">
        <x:v>Feuil2</x:v>
      </x:c>
      <x:c r="B11" s="14" t="n">
        <x:v>6</x:v>
      </x:c>
      <x:c r="C11" s="14" t="str">
        <x:v>5</x:v>
      </x:c>
      <x:c r="D11" s="36" t="str">
        <x:v>Evaluating Lightweight Unsupervised Online IDS for Masquerade Attacks in CAN</x:v>
      </x:c>
      <x:c r="E11" s="14" t="str">
        <x:v>Pablo Moriano, Steven C. Hespeler, Mingyan Li, Robert A. Bridges</x:v>
      </x:c>
      <x:c r="F11" s="14" t="str">
        <x:v>2024</x:v>
      </x:c>
      <x:c r="G11" s="14" t="str">
        <x:v>https://arxiv.org/abs/2406.13778</x:v>
      </x:c>
      <x:c r="H11" s="14" t="str">
        <x:v>Journal article (also circulated as arXiv preprint; ScienceDirect version dated Feb 2026)</x:v>
      </x:c>
      <x:c r="I11" s="14" t="str">
        <x:v>Benchmark lightweight, UNSUPERVISED, ONLINE (streaming) CAN IDS methods for masquerade detection — contrasting with most prior work, which evaluates offline on already-collected logs.</x:v>
      </x:c>
      <x:c r="J11" s="14" t="str">
        <x:v>Vehicle CAN bus, with explicit V2X/connectivity context discussed in the introduction.</x:v>
      </x:c>
      <x:c r="K11" s="14" t="str">
        <x:v>Masquerade attacks.</x:v>
      </x:c>
      <x:c r="L11" s="14" t="str">
        <x:v>ROAD dataset (streaming simulation of an online setting).</x:v>
      </x:c>
      <x:c r="M11" s="14" t="str">
        <x:v>Real CAN data with ROAD's masquerade attacks, simulated in a streaming/online evaluation setting.</x:v>
      </x:c>
      <x:c r="N11" s="14" t="str">
        <x:v>Multiple lightweight unsupervised online algorithms compared (streaming/statistical and clustering-based methods, building on the same research group's earlier AHC-based clustering approach).</x:v>
      </x:c>
      <x:c r="O11" s="14" t="str">
        <x:v>Yes — explicitly framed around lightweight, online (i.e., onboard-feasible) detection rather than offline batch analysis.</x:v>
      </x:c>
      <x:c r="P11" s="14" t="str">
        <x:v>No.</x:v>
      </x:c>
      <x:c r="Q11" s="14" t="str">
        <x:v>No.</x:v>
      </x:c>
      <x:c r="R11" s="14" t="str">
        <x:v>No.</x:v>
      </x:c>
      <x:c r="S11" s="14" t="str">
        <x:v>Considers streaming/online processing timing, but not vehicle-to-cloud network/communication delay specifically.</x:v>
      </x:c>
      <x:c r="T11" s="14" t="str">
        <x:v>No explicit deadline framework.</x:v>
      </x:c>
      <x:c r="U11" s="14" t="str">
        <x:v>Likely yes (paper is framed around 'practical' unsupervised online IDS, implying FPR/FNR-style evaluation), though exact figures were not retrieved from the available excerpt.</x:v>
      </x:c>
      <x:c r="V11" s="14" t="str">
        <x:v>Partially — online/streaming detection timing is central to the paper's framing, though a precise 'time from attack onset to warning' metric was not confirmed from the retrieved excerpt.</x:v>
      </x:c>
      <x:c r="W11" s="14" t="str">
        <x:v>Window/streaming-level: designed for continuous online evaluation rather than isolated event-level detection.</x:v>
      </x:c>
      <x:c r="X11" s="14" t="str">
        <x:v>Compares several state-of-the-art unsupervised online CAN IDS methods against each other under streaming conditions; explicitly contrasts with four categories of prior offline benchmark studies (statistical entropy/clock-skew methods, unifying time-based frameworks, comprehensive performance frameworks, and experimental comparisons).</x:v>
      </x:c>
      <x:c r="Y11" s="14" t="str">
        <x:v>Not fully confirmed from the retrieved excerpt — the paper explicitly promises to 'discuss limitations, open challenges, and how the benchmarked methods can be used for practical unsupervised online CAN IDS.'</x:v>
      </x:c>
      <x:c r="Z11" s="14" t="str">
        <x:v>Closely related in problem space: masquerade detection + streaming/online practicality constraints, from the same author group behind Papers 2 and 3 — completes the ROAD-based masquerade-detection benchmarking landscape.</x:v>
      </x:c>
      <x:c r="AA11" s="14" t="str">
        <x:v>Does not involve any cloud confirmation, deadline-based escalation, or two-tier local/cloud architecture — purely about which unsupervised algorithm performs best in an online setting.</x:v>
      </x:c>
      <x:c r="AB11" s="14" t="str">
        <x:v>The paper explicitly flags 'limitations, open challenges' of practical online masquerade IDS but does not propose a cloud-assisted, deadline-aware verification layer — leaving our specific angle open.</x:v>
      </x:c>
      <x:c r="AC11" s="14" t="str">
        <x:v>Abstract; Introduction (Section III, Related Work, contrasting offline vs. online benchmark studies).</x:v>
      </x:c>
      <x:c r="AD11" s="14" t="str">
        <x:v>The authors themselves frame the paper around exposing where existing (mostly offline) methods fall short in real, streaming conditions — i.e., the 'online-practicality gap' is their own stated limitation of prior work, which they then only partly close.</x:v>
      </x:c>
      <x:c r="AE11" s="14" t="str">
        <x:v>A strong benchmarking reference for 'what practical online masquerade detection looks like today.' Supports our motivation that current online/onboard-only masquerade IDS work does not yet consider a cloud-confirmation layer with deadlines.</x:v>
      </x:c>
      <x:c r="AF11" s="14" t="str">
        <x:v>Yes</x:v>
      </x:c>
      <x:c r="AG11" s="14" t="str">
        <x:v>High</x:v>
      </x:c>
      <x:c r="AH11" s="14" t="str">
        <x:v>Good companion reference to Papers 2 and 3 (same ORNL research group) — cite to argue that current online masquerade IDS research stops at the local/onboard detector and does not yet consider cloud-assisted, deadline-aware decisions.</x:v>
      </x:c>
    </x:row>
    <x:row r="12">
      <x:c r="A12" s="14" t="str">
        <x:v>Feuil2</x:v>
      </x:c>
      <x:c r="B12" s="14" t="n">
        <x:v>7</x:v>
      </x:c>
      <x:c r="C12" s="14" t="str">
        <x:v>6</x:v>
      </x:c>
      <x:c r="D12" s="36" t="str">
        <x:v>AI-Driven Intrusion Detection Systems (IDS) on the ROAD Dataset: A Comparative Analysis for Automotive Controller Area Network (CAN)</x:v>
      </x:c>
      <x:c r="E12" s="14" t="str">
        <x:v>Lorenzo Guerra, Linhan Xu, Paolo Bellavista, Thomas Chapuis, Guillaume Duc, Pavlo Mozharovskyi, Van-Tam Nguyen</x:v>
      </x:c>
      <x:c r="F12" s="14" t="str">
        <x:v>2024</x:v>
      </x:c>
      <x:c r="G12" s="14" t="str">
        <x:v>https://dl.acm.org/doi/abs/10.1145/3689936.3694696</x:v>
      </x:c>
      <x:c r="H12" s="14" t="str">
        <x:v>Conference paper (ACM CSCS '24 — Cyber Security in CarS Workshop)</x:v>
      </x:c>
      <x:c r="I12" s="14" t="str">
        <x:v>Compare state-of-the-art deep learning and traditional ML IDS models across datasets to expose the performance discrepancy between easier legacy datasets and the more realistic, stealthier ROAD dataset.</x:v>
      </x:c>
      <x:c r="J12" s="14" t="str">
        <x:v>Vehicle CAN bus.</x:v>
      </x:c>
      <x:c r="K12" s="14" t="str">
        <x:v>Ranges from simpler DoS/fuzzy/gear/RPM-spoofing attacks (on the older HCRL Car-Hacking and In-Vehicle Network Intrusion Detection Challenge datasets) to ROAD's stealthier, more sophisticated injections.</x:v>
      </x:c>
      <x:c r="L12" s="14" t="str">
        <x:v>ROAD dataset, HCRL Car-Hacking dataset, and the In-Vehicle Network Intrusion Detection Challenge dataset.</x:v>
      </x:c>
      <x:c r="M12" s="14" t="str">
        <x:v>Real CAN data across all three datasets; ROAD specifically includes stealthier/more realistic injections than the older datasets.</x:v>
      </x:c>
      <x:c r="N12" s="14" t="str">
        <x:v>Multiple models compared: Random Forest, LightGBM, LCCDE, DCNN, TAN, LSTM (ensemble, tree-based, and deep-learning classifiers).</x:v>
      </x:c>
      <x:c r="O12" s="14" t="str">
        <x:v>Implicitly onboard-deployable classifiers; not explicitly framed with a local/cloud split.</x:v>
      </x:c>
      <x:c r="P12" s="14" t="str">
        <x:v>No.</x:v>
      </x:c>
      <x:c r="Q12" s="14" t="str">
        <x:v>No.</x:v>
      </x:c>
      <x:c r="R12" s="14" t="str">
        <x:v>No.</x:v>
      </x:c>
      <x:c r="S12" s="14" t="str">
        <x:v>No — latency/communication delay not discussed; focus is purely on classification accuracy.</x:v>
      </x:c>
      <x:c r="T12" s="14" t="str">
        <x:v>No.</x:v>
      </x:c>
      <x:c r="U12" s="14" t="str">
        <x:v>Yes — extensive per-attack-class Precision/Recall/F1 tables reported across datasets (e.g., near-perfect on HCRL, more varied/harder results implied on ROAD).</x:v>
      </x:c>
      <x:c r="V12" s="14" t="str">
        <x:v>Not measured — no latency or time-to-detect figures reported; purely accuracy-focused.</x:v>
      </x:c>
      <x:c r="W12" s="14" t="str">
        <x:v>Mostly per-frame / per-attack-class classification-level, not attack-episode/event-level.</x:v>
      </x:c>
      <x:c r="X12" s="14" t="str">
        <x:v>Random Forest, LightGBM, LCCDE, DCNN, TAN, LSTM compared head-to-head across the three datasets.</x:v>
      </x:c>
      <x:c r="Y12" s="14" t="str">
        <x:v>Precision, Recall, F1 score per attack class per dataset.</x:v>
      </x:c>
      <x:c r="Z12" s="14" t="str">
        <x:v>Directly relevant: uses the ROAD dataset (our likely dataset choice) and demonstrates that models tuned on easier legacy datasets underperform on ROAD's stealthier attacks — supports our rationale for using ROAD specifically for masquerade work.</x:v>
      </x:c>
      <x:c r="AA12" s="14" t="str">
        <x:v>Does not address cloud, latency, deadlines, or event-level timely-warning evaluation — purely a cross-dataset model-accuracy comparison, not a systems/architecture paper.</x:v>
      </x:c>
      <x:c r="AB12" s="14" t="str">
        <x:v>Highlights the dataset-difficulty gap (older datasets are too easy; ROAD is harder) but does not touch the cloud-confirmation/deadline angle at all — a useful motivational citation, not a competing architecture.</x:v>
      </x:c>
      <x:c r="AC12" s="14" t="str">
        <x:v>Abstract; Tables 4–5 (per-class model performance comparisons on HCRL and In-Vehicle Network Intrusion Detection Challenge datasets); Conclusion.</x:v>
      </x:c>
      <x:c r="AD12" s="14" t="str">
        <x:v>The paper's own central finding — that legacy datasets inflate apparent IDS performance relative to ROAD's harder attacks — is implicitly its own limitation: even after showing this discrepancy, it doesn't propose a new detector or architecture addressing ROAD's harder cases directly.</x:v>
      </x:c>
      <x:c r="AE12" s="14" t="str">
        <x:v>Useful benchmarking reference to justify choosing ROAD over older/easier datasets and to cite baseline model accuracy figures, but not a competitor on the cloud-confirmation architecture front.</x:v>
      </x:c>
      <x:c r="AF12" s="14" t="str">
        <x:v>Yes</x:v>
      </x:c>
      <x:c r="AG12" s="14" t="str">
        <x:v>Medium/High</x:v>
      </x:c>
      <x:c r="AH12" s="14" t="str">
        <x:v>Use for baseline model-comparison figures and to justify our choice of the ROAD dataset over older, easier CAN IDS datasets like HCRL Car-Hacking.</x:v>
      </x:c>
    </x:row>
    <x:row r="13">
      <x:c r="A13" s="14" t="str">
        <x:v>Feuil2</x:v>
      </x:c>
      <x:c r="B13" s="14" t="n">
        <x:v>8</x:v>
      </x:c>
      <x:c r="C13" s="14" t="str">
        <x:v>7</x:v>
      </x:c>
      <x:c r="D13" s="36" t="str">
        <x:v>Beyond Vanilla: Improved Autoencoder-Based Ensemble In-Vehicle Intrusion Detection System</x:v>
      </x:c>
      <x:c r="E13" s="14" t="str">
        <x:v>Sampath Rajapaksha, Harsha Kalutarage, M. Omar Al-Kadri, Andrei Petrovski, Garikayi Madzudzo</x:v>
      </x:c>
      <x:c r="F13" s="14" t="str">
        <x:v>2023</x:v>
      </x:c>
      <x:c r="G13" s="14" t="str">
        <x:v>https://doi.org/10.1016/j.jisa.2023.103570</x:v>
      </x:c>
      <x:c r="H13" s="14" t="str">
        <x:v>Journal article (Journal of Information Security and Applications)</x:v>
      </x:c>
      <x:c r="I13" s="14" t="str">
        <x:v>Build an efficient ensemble IDS combining a GRU model and a novel 'Latent AE' autoencoder to fix the overgeneralization problem of vanilla autoencoders (which reconstruct anomalies without significant error, causing false negatives), while respecting limited onboard compute resources.</x:v>
      </x:c>
      <x:c r="J13" s="14" t="str">
        <x:v>In-vehicle CAN bus, explicitly targeting resource-constrained onboard computing.</x:v>
      </x:c>
      <x:c r="K13" s="14" t="str">
        <x:v>13 different attacks across two public datasets, including sophisticated masquerade attacks.</x:v>
      </x:c>
      <x:c r="L13" s="14" t="str">
        <x:v>Two public CAN attack datasets (not specified by name in the retrieved excerpt, but explicitly stated to include sophisticated masquerade attacks).</x:v>
      </x:c>
      <x:c r="M13" s="14" t="str">
        <x:v>Real CAN attack data.</x:v>
      </x:c>
      <x:c r="N13" s="14" t="str">
        <x:v>Ensemble of a GRU network (temporal/ID modeling) and a novel Latent AE (shallow autoencoder embedded in the latent space, using Cramér's-statistic feature selection and a transformed payload data structure).</x:v>
      </x:c>
      <x:c r="O13" s="14" t="str">
        <x:v>Yes — explicitly designed for resource-constrained onboard deployment with near real-time detection latency of 25ms.</x:v>
      </x:c>
      <x:c r="P13" s="14" t="str">
        <x:v>No.</x:v>
      </x:c>
      <x:c r="Q13" s="14" t="str">
        <x:v>No.</x:v>
      </x:c>
      <x:c r="R13" s="14" t="str">
        <x:v>No — single-tier onboard ensemble, no escalation logic.</x:v>
      </x:c>
      <x:c r="S13" s="14" t="str">
        <x:v>Yes — near real-time latency (25ms) is an explicit design goal and reported result.</x:v>
      </x:c>
      <x:c r="T13" s="14" t="str">
        <x:v>No explicit deadline framework, though the 25ms latency figure could inform a deadline budget.</x:v>
      </x:c>
      <x:c r="U13" s="14" t="str">
        <x:v>Yes — the whole premise addresses false negatives caused by vanilla-AE overgeneralization; superiority over baseline models is reported.</x:v>
      </x:c>
      <x:c r="V13" s="14" t="str">
        <x:v>Yes — near real-time detection latency of 25ms reported.</x:v>
      </x:c>
      <x:c r="W13" s="14" t="str">
        <x:v>Appears to be frame/message-level detection via the GRU+Latent AE ensemble, not explicit attack-episode/event-level evaluation.</x:v>
      </x:c>
      <x:c r="X13" s="14" t="str">
        <x:v>Compared against unspecified 'baseline models' (per the retrieved abstract) including presumably standard/vanilla autoencoder approaches.</x:v>
      </x:c>
      <x:c r="Y13" s="14" t="str">
        <x:v>Detection performance (implied precision/recall/F1, given the false-negative framing) and near real-time latency (25ms).</x:v>
      </x:c>
      <x:c r="Z13" s="14" t="str">
        <x:v>Strong candidate 'local detector': addresses masquerade among its 13 attacks, uses both ID and payload data, and is explicitly resource-aware with a concrete latency figure (25ms) — directly useful as a component in our proposed local+cloud architecture.</x:v>
      </x:c>
      <x:c r="AA13" s="14" t="str">
        <x:v>Single-tier onboard only; no cloud second opinion, no deadline-based escalation decision, no communication-delay modeling.</x:v>
      </x:c>
      <x:c r="AB13" s="14" t="str">
        <x:v>Does not explore whether escalating uncertain/borderline cases (where even the improved Latent AE still risks false negatives) to a stronger cloud-side model under a deadline constraint could further reduce errors — exactly our project's angle.</x:v>
      </x:c>
      <x:c r="AC13" s="14" t="str">
        <x:v>Abstract; latency figure (25ms) as reported in the RGU institutional repository description of the paper.</x:v>
      </x:c>
      <x:c r="AD13" s="14" t="str">
        <x:v>Not explicitly detailed in the retrieved excerpt, though the paper's entire motivation (fixing vanilla-AE overgeneralization) implies that some residual false-negative risk likely remains even with the Latent AE improvement.</x:v>
      </x:c>
      <x:c r="AE13" s="14" t="str">
        <x:v>A strong, resource-aware onboard masquerade-capable detector — best treated as a candidate 'local detector' building block for our two-tier architecture rather than a competing full solution, since it never engages the cloud-confirmation idea.</x:v>
      </x:c>
      <x:c r="AF13" s="14" t="str">
        <x:v>Yes</x:v>
      </x:c>
      <x:c r="AG13" s="14" t="str">
        <x:v>High</x:v>
      </x:c>
      <x:c r="AH13" s="14" t="str">
        <x:v>Good 'local detector' reference; the 25ms latency figure is directly usable when setting realistic deadline budgets for our cloud-confirmation policy.</x:v>
      </x:c>
    </x:row>
    <x:row r="14">
      <x:c r="A14" s="14" t="str">
        <x:v>Feuil2</x:v>
      </x:c>
      <x:c r="B14" s="14" t="n">
        <x:v>9</x:v>
      </x:c>
      <x:c r="C14" s="14" t="str">
        <x:v>8</x:v>
      </x:c>
      <x:c r="D14" s="36" t="str">
        <x:v>Detecting In-Vehicle Intrusion via Semi-Supervised Learning-Based Convolutional Adversarial Autoencoders</x:v>
      </x:c>
      <x:c r="E14" s="14" t="str">
        <x:v>Thien-Nu Hoang, Daehee Kim</x:v>
      </x:c>
      <x:c r="F14" s="14" t="str">
        <x:v>2022</x:v>
      </x:c>
      <x:c r="G14" s="14" t="str">
        <x:v>https://doi.org/10.1016/j.vehcom.2022.100520</x:v>
      </x:c>
      <x:c r="H14" s="14" t="str">
        <x:v>Journal article (Vehicular Communications); originally circulated as an arXiv preprint</x:v>
      </x:c>
      <x:c r="I14" s="14" t="str">
        <x:v>Reduce the amount of labeled data needed for CAN IDS by combining an autoencoder and a GAN into a semi-supervised convolutional adversarial autoencoder, detecting both known and unknown attacks from mostly unlabeled data plus a small labeled set.</x:v>
      </x:c>
      <x:c r="J14" s="14" t="str">
        <x:v>In-vehicle CAN bus.</x:v>
      </x:c>
      <x:c r="K14" s="14" t="str">
        <x:v>DoS, fuzzy, and spoofing message-injection attacks, plus unknown/novel attacks; not explicitly framed around masquerade attacks specifically in the retrieved abstract.</x:v>
      </x:c>
      <x:c r="L14" s="14" t="str">
        <x:v>Not explicitly named in the retrieved excerpt (appears to be a standard public CAN attack dataset, not confirmed as ROAD).</x:v>
      </x:c>
      <x:c r="M14" s="14" t="str">
        <x:v>Real CAN attack data (dataset name not confirmed from the retrieved excerpt).</x:v>
      </x:c>
      <x:c r="N14" s="14" t="str">
        <x:v>Semi-supervised Convolutional Adversarial Autoencoder: unsupervised pretraining on unlabeled manifold data, then supervised fine-tuning on a small labeled subset.</x:v>
      </x:c>
      <x:c r="O14" s="14" t="str">
        <x:v>Yes — explicit real-time requirement analysis; model is 5x smaller and 8x faster at inference than a prior state-of-the-art model.</x:v>
      </x:c>
      <x:c r="P14" s="14" t="str">
        <x:v>No.</x:v>
      </x:c>
      <x:c r="Q14" s="14" t="str">
        <x:v>No.</x:v>
      </x:c>
      <x:c r="R14" s="14" t="str">
        <x:v>No — single-tier onboard detector, no escalation logic.</x:v>
      </x:c>
      <x:c r="S14" s="14" t="str">
        <x:v>Yes — inference time is explicitly measured and minimized as a real-time-requirement design goal.</x:v>
      </x:c>
      <x:c r="T14" s="14" t="str">
        <x:v>No explicit deadline framework.</x:v>
      </x:c>
      <x:c r="U14" s="14" t="str">
        <x:v>Yes — F1 score of 0.99 and a low error rate of 0.1% reported.</x:v>
      </x:c>
      <x:c r="V14" s="14" t="str">
        <x:v>Yes — inference time reduced 8x vs. a prior state-of-the-art model (exact absolute latency not confirmed from retrieved excerpt).</x:v>
      </x:c>
      <x:c r="W14" s="14" t="str">
        <x:v>Appears to be sample/frame-level classification, not explicit attack-episode/event-level evaluation.</x:v>
      </x:c>
      <x:c r="X14" s="14" t="str">
        <x:v>Compared against other supervised methods and a 'state-of-the-art model' for parameter count and inference-time reduction.</x:v>
      </x:c>
      <x:c r="Y14" s="14" t="str">
        <x:v>F1 score (0.99), error rate (0.1%), number of trainable parameters, inference time.</x:v>
      </x:c>
      <x:c r="Z14" s="14" t="str">
        <x:v>Efficient, label-frugal onboard CAN IDS with a strong accuracy/efficiency trade-off — a reasonable secondary 'local detector' candidate, and directly relevant to the practical constraint of limited labeled masquerade data in real deployments.</x:v>
      </x:c>
      <x:c r="AA14" s="14" t="str">
        <x:v>Focuses on label efficiency and injection-type attacks rather than masquerade specifically; no cloud, no deadline, no event-level warning concept.</x:v>
      </x:c>
      <x:c r="AB14" s="14" t="str">
        <x:v>Does not address masquerade-specific stealth attacks explicitly, nor any cloud-assisted verification step — its contribution (label efficiency) is orthogonal to our specific cloud-confirmation gap.</x:v>
      </x:c>
      <x:c r="AC14" s="14" t="str">
        <x:v>Abstract (parameter count, inference-time, F1, error-rate figures).</x:v>
      </x:c>
      <x:c r="AD14" s="14" t="str">
        <x:v>Not detailed in the retrieved excerpt; the semi-supervised, label-efficiency framing suggests full masquerade-attack coverage was not the primary focus.</x:v>
      </x:c>
      <x:c r="AE14" s="14" t="str">
        <x:v>Useful secondary reference for the 'efficient, label-frugal onboard detector' argument, but more distant from our specific gap (cloud confirmation + deadline) than Papers 4 and 7; lower priority.</x:v>
      </x:c>
      <x:c r="AF14" s="14" t="str">
        <x:v>Yes</x:v>
      </x:c>
      <x:c r="AG14" s="14" t="str">
        <x:v>Medium</x:v>
      </x:c>
      <x:c r="AH14" s="14" t="str">
        <x:v>Cite for the label-efficiency and lightweight-model discussion; not central to our specific cloud-confirmation novelty argument. Verify dataset name and whether masquerade attacks are actually covered before relying on it heavily.</x:v>
      </x:c>
    </x:row>
    <x:row r="15">
      <x:c r="A15" s="14" t="str">
        <x:v>Feuil2</x:v>
      </x:c>
      <x:c r="B15" s="14" t="n">
        <x:v>10</x:v>
      </x:c>
      <x:c r="C15" s="14" t="str">
        <x:v>9</x:v>
      </x:c>
      <x:c r="D15" s="36" t="str">
        <x:v>Multiple Observation HMM-Based CAN Bus Intrusion Detection System for In-Vehicle Network</x:v>
      </x:c>
      <x:c r="E15" s="14" t="str">
        <x:v>Chen Dong, Hao Wu, Qingyuan Li</x:v>
      </x:c>
      <x:c r="F15" s="14" t="str">
        <x:v>2023</x:v>
      </x:c>
      <x:c r="G15" s="14" t="str">
        <x:v>https://ieeexplore.ieee.org/iel7/6287639/10005208/10093873.pdf (DOI: 10.1109/ACCESS.2023.3265018)</x:v>
      </x:c>
      <x:c r="H15" s="14" t="str">
        <x:v>Journal article (IEEE Access)</x:v>
      </x:c>
      <x:c r="I15" s="14" t="str">
        <x:v>Build a frame-by-frame (not block/period-based) CAN IDS using multi-observation Hidden Markov Models over both the ID and data-field domains, to detect anomalies without needing extensive labeled attack data and to precisely localize which single frame is malicious rather than just flagging an attack period.</x:v>
      </x:c>
      <x:c r="J15" s="14" t="str">
        <x:v>In-vehicle CAN bus; real vehicle CAN data collected via a custom-built RS465 CAN HAT + Raspberry Pi transceiver through OBD-II, plus a custom CAN bus attack platform (real vehicle instrumentation system + gateway) used to physically inject attacks.</x:v>
      </x:c>
      <x:c r="K15" s="14" t="str">
        <x:v>Four attack scenarios explicitly defined and tested: DDoS attack, Fuzzy attack, Replay attack (split into reply_invariant and reply_variant), and Masquerade attack. Masquerade attacks ARE explicitly covered: the attacker replaces specific normal frame data fields with target control information (e.g., to trigger wipers, brakes, or steering) while IDs and data fields stay within the legal range.</x:v>
      </x:c>
      <x:c r="L15" s="14" t="str">
        <x:v>Own real-vehicle dataset: normal data collected from a car driving normally for 30 minutes during non-peak hours in an urban area (31 real CAN IDs); attacks generated on their own built CAN bus attack platform (real vehicle instrumentation system + gateway).</x:v>
      </x:c>
      <x:c r="M15" s="14" t="str">
        <x:v>Real: real vehicle CAN traffic for normal data, and real physically-injected attacks via their own hardware attack platform on a real vehicle instrumentation system (not purely simulated/synthetic).</x:v>
      </x:c>
      <x:c r="N15" s="14" t="str">
        <x:v>Multiple-Observation Hidden Markov Model: one HMM per data-field byte (L HMMs total), using the ID sequence as HMM states and each byte of the data field as an observation sequence; computes forward-backward probabilities (gamma) per frame per time window and flags a frame abnormal if gamma falls outside a learned threshold range for any byte.</x:v>
      </x:c>
      <x:c r="O15" s="14" t="str">
        <x:v>Yes — a lightweight, frame-by-frame onboard detection algorithm requiring no changes to existing vehicle architecture.</x:v>
      </x:c>
      <x:c r="P15" s="14" t="str">
        <x:v>No.</x:v>
      </x:c>
      <x:c r="Q15" s="14" t="str">
        <x:v>No.</x:v>
      </x:c>
      <x:c r="R15" s="14" t="str">
        <x:v>No — no cloud component at all; purely onboard/local statistical detector.</x:v>
      </x:c>
      <x:c r="S15" s="14" t="str">
        <x:v>Only in the sense of detection granularity/response time: the paper claims the frame-by-frame design 'shortens the attack response time' vs. block/period-based methods, but does NOT model any vehicle-to-cloud communication delay (there is no cloud tier in this architecture).</x:v>
      </x:c>
      <x:c r="T15" s="14" t="str">
        <x:v>No.</x:v>
      </x:c>
      <x:c r="U15" s="14" t="str">
        <x:v>Yes, extensively — full Accuracy/Precision/Recall/F1 tables for all four (five, counting the replay split) attack scenarios, compared against KNN, Decision Tree, SVM(rbf), and CLAM (CNN-LSTM+Attention) baselines.</x:v>
      </x:c>
      <x:c r="V15" s="14" t="str">
        <x:v>Not measured as a wall-clock latency figure; instead the paper studies detection-performance sensitivity to the size of the analysis TIME WINDOW (swept from 3 to 36 messages), finding windows of 18-24 messages give the best recall/precision/F1 trade-off, especially for masquerade and reply_invariant attacks.</x:v>
      </x:c>
      <x:c r="W15" s="14" t="str">
        <x:v>Window-level: a time window W (a set of CAN messages, sized 3-36 in their sweep) is used to compute the gamma probability per frame, but detection is reported 'frame-by-frame' — each individual frame is classified using the surrounding window's statistics.</x:v>
      </x:c>
      <x:c r="X15" s="14" t="str">
        <x:v>KNN, Decision Tree (DT), SVM (rbf kernel), and CLAM (CNN-LSTM with Attention Mechanism, Sun et al. 2021) — compared head-to-head on Recall/Precision/Accuracy/F1 across all four attack scenarios using the same train/test sets.</x:v>
      </x:c>
      <x:c r="Y15" s="14" t="str">
        <x:v>Recall, Precision, Accuracy, F1-score per attack scenario per method. Example (masquerade + reply_invariant, hardest category): their method reaches Recall 0.958, Precision 0.988, Accuracy 0.951, F1 0.973 — beating CLAM (0.909/0.960/0.943/0.934) and far ahead of KNN/DT/SVM (0.67-0.93 range).</x:v>
      </x:c>
      <x:c r="Z15" s="14" t="str">
        <x:v>Directly relevant: masquerade attacks ARE one of its four explicitly tested attack scenarios (identified as the hardest, along with reply_invariant, since masquerade frames stay within the legal ID/data range); it is a real-vehicle, real-attack-platform study, not just a public-dataset simulation; its window-size sensitivity study is conceptually related to windowing choices our project would need to make.</x:v>
      </x:c>
      <x:c r="AA15" s="14" t="str">
        <x:v>Purely onboard/local; no cloud tier at all — so no cloud offloading, no cloud-confirmation policy, no communication-delay modeling, and no alert-deadline concept. Also does not use the ROAD dataset (uses its own real-vehicle capture of 31 CAN IDs instead).</x:v>
      </x:c>
      <x:c r="AB15" s="14" t="str">
        <x:v>Does not explore whether escalating masquerade-flagged frames — especially borderline cases where gamma falls just outside the threshold — to a stronger, cloud-hosted model could further improve masquerade detection, even though masquerade and reply_invariant are explicitly identified BY THE AUTHORS as their hardest, most-degraded categories (93-97% vs. 99%+ on easier attacks). This residual difficulty on exactly the hardest attack category is precisely where a deadline-aware cloud-confirmation layer could add value.</x:v>
      </x:c>
      <x:c r="AC15" s="14" t="str">
        <x:v>Abstract; Section III-C Attack Model (DDoS/Fuzzy/Replay/Masquerade definitions, Figs 6-9); Section IV Proposed Method (HMM formulation, Algorithms 1-2); Section V-B Results, Tables 1-4 (per-attack performance) and Figs 12-15 (window-size sensitivity).</x:v>
      </x:c>
      <x:c r="AD15" s="14" t="str">
        <x:v>Explicitly stated in the Conclusion (Section VI): future work is needed to 'improve the performance of the intrusion detection model against higher-order attacks carried out by experienced hackers to make it close to the actual security protection of the CAN bus' — i.e., the authors themselves flag that more sophisticated/adversarial attacks remain an open challenge for their onboard-only HMM approach.</x:v>
      </x:c>
      <x:c r="AE15" s="14" t="str">
        <x:v>A strong, real-vehicle-validated CAN masquerade detector using a lightweight statistical (non-deep-learning) model — a solid candidate 'local/onboard detector' building block for our architecture. Its own finding that masquerade + reply_invariant are its weakest categories is good empirical motivation for why a cloud-side second opinion specifically on borderline masquerade cases could be valuable. It is NOT a competitor on the cloud-confirmation/deadline front — it has no cloud component whatsoever.</x:v>
      </x:c>
      <x:c r="AF15" s="14" t="str">
        <x:v>Yes</x:v>
      </x:c>
      <x:c r="AG15" s="14" t="str">
        <x:v>High</x:v>
      </x:c>
      <x:c r="AH15" s="14" t="str">
        <x:v>NOW FULLY VERIFIED via full-text PDF (previously marked incomplete due to search-tool limits). Masquerade attacks ARE covered and are explicitly the hardest category for this method (along with reply_invariant) — good empirical evidence to cite when motivating why masquerade specifically is stubbornly hard and could benefit from cloud-assisted confirmation. Uses a real vehicle + real attack platform (31 CAN IDs), not the ROAD dataset.</x:v>
      </x:c>
    </x:row>
    <x:row r="16">
      <x:c r="A16" s="14" t="str">
        <x:v>Feuil2</x:v>
      </x:c>
      <x:c r="B16" s="14" t="n">
        <x:v>11</x:v>
      </x:c>
      <x:c r="C16" s="14" t="str">
        <x:v>10</x:v>
      </x:c>
      <x:c r="D16" s="36" t="str">
        <x:v>Explainable Edge-Cloud Federated Intrusion Detection System for Electric Vehicles Using GRUs, DRL Selection, and Integrated Gradients</x:v>
      </x:c>
      <x:c r="E16" s="14" t="str">
        <x:v>Arash Heidari, Seyed Hamed Rastegar, Ahmad Khonsari</x:v>
      </x:c>
      <x:c r="F16" s="14" t="str">
        <x:v>2026</x:v>
      </x:c>
      <x:c r="G16" s="14" t="str">
        <x:v>https://doi.org/10.1186/s40537-026-01505-6</x:v>
      </x:c>
      <x:c r="H16" s="14" t="str">
        <x:v>Journal article (Journal of Big Data, Springer) — Accepted manuscript / 'Article in Press' (accepted 12 July 2026, published online 12 Aug 2026).</x:v>
      </x:c>
      <x:c r="I16" s="14" t="str">
        <x:v>Build a scalable, real-time, privacy-preserving, energy-aware, and EXPLAINABLE intrusion detection system for Internet of Electric Vehicles (IoEV), addressing gaps in prior federated IDS work: no energy-aware participant selection, fixed (non-adaptive) learning schedules, limited explainability/auditability, weak edge-cloud hierarchical coordination, and treating detection and learning as separate rather than adaptive processes.</x:v>
      </x:c>
      <x:c r="J16" s="14" t="str">
        <x:v>Three-tier IoEV/V2X hierarchy: EV On-Board Units/Telematics Control Units (vehicle layer) -&gt; Charging-Hub Edge (CHE)/Roadside Unit nodes (edge layer) -&gt; centralized vehicular cloud (cloud layer), connected via C-V2X (PC5/Uu) links and a high-speed 5G/fiber backhaul between edge and cloud.</x:v>
      </x:c>
      <x:c r="K16" s="14" t="str">
        <x:v>V2X-level communication attacks: spoofing, tampering/message manipulation, and replay of V2X beacons/telemetry (e.g., a rogue edge/CHE node intercepting and manipulating vehicle-edge traffic). This is telemetry/V2X-level threat detection, NOT CAN-bus frame-level masquerade attacks — no CAN ID/payload masquerade concept as defined in the ROAD-dataset literature is used here.</x:v>
      </x:c>
      <x:c r="L16" s="14" t="str">
        <x:v>Seven benchmark datasets: ToN-IoT, Car-Hacking and CAN-intrusion datasets (raw CAN traffic + injection attacks), CICIDS2017, CSE-CIC-IDS2018, UNSW-NB15, and VeReMi (V2X misbehavior and location-spoofing simulation). Does NOT use the ROAD dataset.</x:v>
      </x:c>
      <x:c r="M16" s="14" t="str">
        <x:v>Mixed: public benchmark datasets (real captured network/CAN/V2X data) partitioned into simulated federated EV clients (non-IID via Dirichlet distributions); supplemented with real Hardware-in-the-Loop validation (Raspberry Pi 4 / ARM Cortex-A72 OBU-grade board) and a Field-in-the-Loop pilot replaying real CAN/GPS/aux-sensor logs with injected drift and zero-day behavior.</x:v>
      </x:c>
      <x:c r="N16" s="14" t="str">
        <x:v>Lightweight GRU-based IDS (2xGRU layers, input sequence length T=10, H=64 hidden units) running locally on each EV over 1-second telemetry windows; a Deep Reinforcement Learning (DQN) agent at each CHE node for EV participant SELECTION (not detection); FedAvg-style hierarchical federated aggregation across CHE and cloud tiers; Integrated Gradients (IG) for on-device, post-hoc explainability of each alert.</x:v>
      </x:c>
      <x:c r="O16" s="14" t="str">
        <x:v>Yes — the GRU IDS itself runs on the EV OBU/TCU, processing 1-second telemetry windows locally in real time.</x:v>
      </x:c>
      <x:c r="P16" s="14" t="str">
        <x:v>NO in the sense our project cares about: the cloud does NOT run a second, independent detection model that re-examines individual alerts. The cloud's role is federated-learning aggregation and global model refinement only — it never re-scores a specific EV's suspicious frame with a stronger model.</x:v>
      </x:c>
      <x:c r="Q16" s="14" t="str">
        <x:v>Yes, but only of MODEL UPDATES/TRAINING, never of individual detection decisions: model weight updates flow EV -&gt; CHE -&gt; cloud -&gt; back down; raw telemetry and per-alert inference never leave the EV. This is fundamentally different from offloading an uncertain alert itself for cloud confirmation.</x:v>
      </x:c>
      <x:c r="R16" s="14" t="str">
        <x:v>CRITICAL CLARIFICATION: 'DRL Selection' in the title refers to the CHE choosing WHICH EVs get to participate in each FEDERATED TRAINING round (based on energy budget, link quality/SNR, State-of-Charge, compute availability, and data-quality contribution, cast as an MDP with a DQN agent) — it does NOT decide whether a specific suspicious CAN/V2X frame should be escalated to the cloud for a second opinion before an alert deadline. There is no per-alert escalation decision anywhere in this paper.</x:v>
      </x:c>
      <x:c r="S16" s="14" t="str">
        <x:v>Yes — extensively, but as system/network engineering conditions, not as an alert-escalation criterion: DSRC/C-V2X latency jitter (mu=20-80ms, sigma=10-30ms) and random RSU dropout (p=0.05-0.20) are used as realistic stress conditions for federated convergence and energy measurements.</x:v>
      </x:c>
      <x:c r="T16" s="14" t="str">
        <x:v>No explicit named 'alert deadline' policy variable, though the paper does target and report real-time in-vehicle alerting: end-to-end alert latency has a median of approx. 250ms and 95th percentile under 400ms in the Field-in-the-Loop pilot, described as 'achieving the real-time condition for in-vehicle alerting' -- this is a reported outcome, not a decision-time deadline constraint used to decide whether to query the cloud.</x:v>
      </x:c>
      <x:c r="U16" s="14" t="str">
        <x:v>Yes, extensively: false detection rate vs. RSU density (12.5% down to 6.8%), false-positive rate vs. multi-hop depth (2.5% to 7.4%), full FPR/FNR DET-curve analysis at safety-critical operating points (FNR of 0.08 at FPR=1%), and misclassification rate distinguishing driver behavior from genuine attacks (6% vs. 8-13% baselines).</x:v>
      </x:c>
      <x:c r="V16" s="14" t="str">
        <x:v>Yes, extensively: end-to-end alert latency CDF (sensor to alert) with median approx. 250ms and 95th percentile under 400ms; alert latency vs. RSU density (620ms down to 370ms); detection latency vs. multi-hop adversarial route-injection depth (80ms at 1 hop to 260ms at 5 hops); convergence-round latency (R95) under realistic communication conditions.</x:v>
      </x:c>
      <x:c r="W16" s="14" t="str">
        <x:v>Window-level: 1-second (Delta t = 1s) sliding windows per EV form the GRU's input sequences (fixed length T=10 timesteps); detection/alert decisions are per-window, not per discrete CAN masquerade event in the ROAD-dataset sense.</x:v>
      </x:c>
      <x:c r="X16" s="14" t="str">
        <x:v>Four federated IDS baselines: FGID (federated GAN-based IDS), FSLD (federated semi-supervised IDS with teacher-student networks), FCBR (Fed-CALiBER, a federated lightweight BERT model over CAN bus data), and EFFX (an Explainable Federated Framework for APT detection using SHAP).</x:v>
      </x:c>
      <x:c r="Y16" s="14" t="str">
        <x:v>Accuracy (up to 99.2% / 96.2% under IID), F1-score (98.7% / 95.7%), ROC-AUC (0.981), PR-AUC (0.974), energy per round/per decision/total lifecycle training energy (25-38% reduction vs. baselines), convergence rounds (R95, 30-50 rounds faster), resilience and redistribution-efficiency scores under RSU/cloud failure, cross-domain transfer F1/AUC/accuracy-drop, IG attribution fidelity (91%), and end-to-end alert latency.</x:v>
      </x:c>
      <x:c r="Z16" s="14" t="str">
        <x:v>Real, meaningful overlaps: (1) a hierarchical EV(local)-edge-cloud IDS architecture; (2) realistic communication delay/dropout (DSRC/C-V2X jitter, RSU dropout) treated as first-class evaluation conditions rather than ignored; (3) explicit end-to-end alert-latency CDF reporting, which is close to the kind of timing evidence a deadline-based framework would need to justify a deadline budget; (4) a GRU-based local temporal detector, similar in spirit to several CAN-focused papers elsewhere in this table.</x:v>
      </x:c>
      <x:c r="AA16" s="14" t="str">
        <x:v>CRUCIALLY: despite the title mentioning 'DRL Selection' and 'Edge-Cloud', this is NOT a per-alert cloud-confirmation/escalation architecture (see column P). It targets general IoEV/V2X telemetry threats using non-CAN-masquerade datasets (ToN-IoT, CICIDS2017, CSE-CIC-IDS2018, UNSW-NB15, VeReMi) rather than CAN-bus masquerade attacks specifically, and does not use the ROAD dataset. There is no false-alarm-budget-conditioned, deadline-gated decision to query a stronger cloud model for a specific uncertain case.</x:v>
      </x:c>
      <x:c r="AB16" s="14" t="str">
        <x:v>Does not perform deadline-aware, per-case cloud escalation for detection confirmation; does not address CAN-bus masquerade attacks specifically (its 'spoofing/tampering' attacks operate at the V2X/telemetry level, not within CAN frame ID/payload semantics the way ROAD-style masquerade attacks do); does not use the ROAD dataset or any CAN-masquerade-specific benchmark.</x:v>
      </x:c>
      <x:c r="AC16" s="14" t="str">
        <x:v>Abstract; Section III System Model (DRL participant-selection MDP defined via state/action/reward, Eqns 6-9, explicitly about training-round participation, not alert routing); Section IV HAMID Method (GRU architecture, 1s windows); Section V.D Real-World &amp; Hardware Validation (alert-latency findings, Figs 10, 17, 18).</x:v>
      </x:c>
      <x:c r="AD16" s="14" t="str">
        <x:v>Explicitly listed by the authors as future work: (1) cryptographic privacy hardening (secure aggregation / differential privacy) against eavesdropping and poisoning; (2) adaptive/continual online learning for long-term drift; (3) blockchain / secure-identity integration to eliminate rogue edge (CHE) nodes; (4) post-quantum-secure federated coordination for future qIoV; (5) global reward shaping or meta-learning to help the DRL participant-selection policy generalize to unseen fleets/vehicle types.</x:v>
      </x:c>
      <x:c r="AE16" s="14" t="str">
        <x:v>This paper is NOT the novelty threat it appeared to be from the title alone. 'DRL Selection' is federated-learning CLIENT selection (an energy/data-quality optimization for who trains this round), not a decision policy about whether to escalate an individual detection case to a cloud-side confirmation model under a deadline -- which remains our project's specific, undiscussed niche. It IS, however, a strong related-architecture reference worth citing for its hierarchical EV-edge-cloud structure and its rigorous treatment of real communication latency/dropout and end-to-end alert timing.</x:v>
      </x:c>
      <x:c r="AF16" s="14" t="str">
        <x:v>Yes</x:v>
      </x:c>
      <x:c r="AG16" s="14" t="str">
        <x:v>High (downgraded from 'very high risk' once verified -- it is a strong related reference, not a direct competitor)</x:v>
      </x:c>
      <x:c r="AH16" s="14" t="str">
        <x:v>RESOLVED: this paper's title reads like a direct threat to our novelty ('DRL Selection' + 'Edge-Cloud' for IDS) but the DRL mechanism actually selects federated-learning participants (EVs) for training rounds, not whether to escalate a specific alert to the cloud. It is IoEV/V2X-general (7 non-CAN-masquerade datasets) rather than CAN-masquerade-specific, and does not use ROAD. Cite it for the hierarchical architecture and realistic latency/dropout evaluation methodology (useful template for our own evaluation design), and explicitly state in our related-work section how our per-alert, deadline-gated cloud-confirmation policy differs from its per-round, energy-aware client-selection policy.</x:v>
      </x:c>
    </x:row>
  </x:sheetData>
  <x:pageMargins left="0.7" right="0.7" top="0.75" bottom="0.75" header="0.3" footer="0.3"/>
</x:worksheet>
</file>

<file path=xl/worksheets/sheet5.xml><?xml version="1.0" encoding="utf-8"?>
<x:worksheet xmlns:x="http://schemas.openxmlformats.org/spreadsheetml/2006/main">
  <x:sheetPr>
    <x:tabColor rgb="FFA5A5A5"/>
  </x:sheetPr>
  <x:sheetViews>
    <x:sheetView workbookViewId="0">
      <x:pane xSplit="3" ySplit="1" topLeftCell="D2" activePane="bottomRight" state="frozen"/>
    </x:sheetView>
  </x:sheetViews>
  <x:sheetFormatPr defaultRowHeight="15"/>
  <x:cols>
    <x:col min="1" max="1" width="13" hidden="0" customWidth="1"/>
    <x:col min="2" max="2" width="13" hidden="0" customWidth="1"/>
    <x:col min="3" max="3" width="52" hidden="0" customWidth="1"/>
    <x:col min="4" max="4" width="34" hidden="0" customWidth="1"/>
    <x:col min="5" max="5" width="9" hidden="0" customWidth="1"/>
    <x:col min="6" max="6" width="25" hidden="0" customWidth="1"/>
    <x:col min="7" max="7" width="40" hidden="0" customWidth="1"/>
    <x:col min="8" max="8" width="21" hidden="0" customWidth="1"/>
    <x:col min="9" max="9" width="21" hidden="0" customWidth="1"/>
    <x:col min="10" max="10" width="21" hidden="0" customWidth="1"/>
    <x:col min="11" max="11" width="21" hidden="0" customWidth="1"/>
    <x:col min="12" max="12" width="21" hidden="0" customWidth="1"/>
    <x:col min="13" max="13" width="45" hidden="0" customWidth="1"/>
    <x:col min="14" max="14" width="25" hidden="0" customWidth="1"/>
    <x:col min="15" max="15" width="48" hidden="0" customWidth="1"/>
    <x:col min="16" max="16" width="14" hidden="0" customWidth="1"/>
    <x:col min="17" max="17" width="14" hidden="0" customWidth="1"/>
    <x:col min="18" max="18" width="70" hidden="0" customWidth="1"/>
  </x:cols>
  <x:sheetData>
    <x:row r="1">
      <x:c r="A1" s="10" t="str">
        <x:v>Raw ID</x:v>
      </x:c>
      <x:c r="B1" s="10" t="str">
        <x:v>Candidate ID</x:v>
      </x:c>
      <x:c r="C1" s="10" t="str">
        <x:v>Title</x:v>
      </x:c>
      <x:c r="D1" s="10" t="str">
        <x:v>Authors</x:v>
      </x:c>
      <x:c r="E1" s="10" t="str">
        <x:v>Year</x:v>
      </x:c>
      <x:c r="F1" s="10" t="str">
        <x:v>DOI</x:v>
      </x:c>
      <x:c r="G1" s="10" t="str">
        <x:v>URL</x:v>
      </x:c>
      <x:c r="H1" s="10" t="str">
        <x:v>Publication Type</x:v>
      </x:c>
      <x:c r="I1" s="10" t="str">
        <x:v>Venue</x:v>
      </x:c>
      <x:c r="J1" s="10" t="str">
        <x:v>Library Catalog</x:v>
      </x:c>
      <x:c r="K1" s="10" t="str">
        <x:v>Source Origin</x:v>
      </x:c>
      <x:c r="L1" s="10" t="str">
        <x:v>Full Text Available</x:v>
      </x:c>
      <x:c r="M1" s="10" t="str">
        <x:v>Attachment Path</x:v>
      </x:c>
      <x:c r="N1" s="10" t="str">
        <x:v>Duplicate Status</x:v>
      </x:c>
      <x:c r="O1" s="10" t="str">
        <x:v>Normalized Title</x:v>
      </x:c>
      <x:c r="P1" s="10" t="str">
        <x:v>Evidence Sheet</x:v>
      </x:c>
      <x:c r="Q1" s="10" t="str">
        <x:v>Evidence Row</x:v>
      </x:c>
      <x:c r="R1" s="10" t="str">
        <x:v>Abstract</x:v>
      </x:c>
    </x:row>
    <x:row r="2">
      <x:c r="A2" s="14" t="str">
        <x:v>Z001</x:v>
      </x:c>
      <x:c r="B2" s="14" t="str">
        <x:v>S001</x:v>
      </x:c>
      <x:c r="C2" s="14" t="str">
        <x:v>Cyberattacks and Countermeasures for In-Vehicle Networks</x:v>
      </x:c>
      <x:c r="D2" s="14" t="str">
        <x:v>Emad Aliwa; Omer Rana; Charith Perera; Peter Burnap</x:v>
      </x:c>
      <x:c r="E2" s="14" t="n">
        <x:v>2021</x:v>
      </x:c>
      <x:c r="F2" s="14" t="str">
        <x:v>10.1145/3431233</x:v>
      </x:c>
      <x:c r="G2" s="14" t="str">
        <x:v>https://dl.acm.org/doi/10.1145/3431233</x:v>
      </x:c>
      <x:c r="H2" s="14" t="str">
        <x:v>journalArticle</x:v>
      </x:c>
      <x:c r="I2" s="14" t="str">
        <x:v>ACM Computing Surveys (CSUR)</x:v>
      </x:c>
      <x:c r="J2" s="14" t="str">
        <x:v>ACM Digital Library</x:v>
      </x:c>
      <x:c r="K2" s="14" t="str">
        <x:v>Zotero collection</x:v>
      </x:c>
      <x:c r="L2" s="14" t="str">
        <x:v>Unknown</x:v>
      </x:c>
      <x:c r="M2" s="14" t="str"/>
      <x:c r="N2" s="14" t="str">
        <x:v>Preferred record</x:v>
      </x:c>
      <x:c r="O2" s="14" t="str">
        <x:v>cyberattacks and countermeasures for in vehicle networks</x:v>
      </x:c>
      <x:c r="P2" s="14" t="str"/>
      <x:c r="Q2" s="14" t="str"/>
      <x:c r="R2" s="14" t="str">
        <x:v>As connectivity between and within vehicles increases, so does concern about safety and security. Various automotive serial protocols are used inside vehicles such as Controller Area Network (CAN), Local Interconnect Network (LIN), and FlexRay. CAN Bus is the most used in-vehicle network protocol to support exchange of vehicle parameters between Electronic Control Units (ECUs). This protocol lacks security mechanisms by design and is therefore vulnerable to various attacks. Furthermore, connectivity of vehicles has made the CAN Bus vulnerable not only from within the vehicle but also from outside. With the rise of connected cars, more entry points and interfaces have been introduced on board vehicles, thereby also leading to a wider potential attack surface. Existing security mechanisms focus on the use of encryption, authentication, and vehicle Intrusion Detection Systems (IDS), which operate under various constraints such as low bandwidth, small frame size (e.g., in the CAN protocol), limited availability of computational resources, and real-time sensitivity. We survey and classify current cryptographic and IDS approaches and compare these approaches based on criteria such as real-time constraints, types of hardware used, changes in CAN Bus behaviour, types of attack mitigation, and software/ hardware used to validate these approaches. We conclude with mitigation strategies limitations and research challenges for the future.</x:v>
      </x:c>
    </x:row>
    <x:row r="3">
      <x:c r="A3" s="14" t="str">
        <x:v>Z003</x:v>
      </x:c>
      <x:c r="B3" s="14" t="str">
        <x:v>S001</x:v>
      </x:c>
      <x:c r="C3" s="14" t="str">
        <x:v>Cyberattacks and Countermeasures for In-Vehicle Networks</x:v>
      </x:c>
      <x:c r="D3" s="14" t="str"/>
      <x:c r="E3" s="14" t="str"/>
      <x:c r="F3" s="14" t="str">
        <x:v>10.1145/3431233</x:v>
      </x:c>
      <x:c r="G3" s="14" t="str">
        <x:v>https://dl.acm.org/doi/epdf/10.1145/3431233</x:v>
      </x:c>
      <x:c r="H3" s="14" t="str">
        <x:v>webpage</x:v>
      </x:c>
      <x:c r="I3" s="14" t="str"/>
      <x:c r="J3" s="14" t="str"/>
      <x:c r="K3" s="14" t="str">
        <x:v>Zotero collection</x:v>
      </x:c>
      <x:c r="L3" s="14" t="str">
        <x:v>Unknown</x:v>
      </x:c>
      <x:c r="M3" s="14" t="str"/>
      <x:c r="N3" s="14" t="str">
        <x:v>Duplicate/alternate version</x:v>
      </x:c>
      <x:c r="O3" s="14" t="str">
        <x:v>cyberattacks and countermeasures for in vehicle networks</x:v>
      </x:c>
      <x:c r="P3" s="14" t="str"/>
      <x:c r="Q3" s="14" t="str"/>
      <x:c r="R3" s="14" t="str"/>
    </x:row>
    <x:row r="4">
      <x:c r="A4" s="14" t="str">
        <x:v>Z002</x:v>
      </x:c>
      <x:c r="B4" s="14" t="str">
        <x:v>S002</x:v>
      </x:c>
      <x:c r="C4" s="14" t="str">
        <x:v>A Comprehensive Performance Comparison of Machine Learning and Federated Learning for Intrusion Detection in Vehicular Ad-Hoc Networks Using CAN-Bus Data</x:v>
      </x:c>
      <x:c r="D4" s="14" t="str">
        <x:v>Tim Leonhardt</x:v>
      </x:c>
      <x:c r="E4" s="14" t="str"/>
      <x:c r="F4" s="14" t="str"/>
      <x:c r="G4" s="14" t="str"/>
      <x:c r="H4" s="14" t="str">
        <x:v>journalArticle</x:v>
      </x:c>
      <x:c r="I4" s="14" t="str"/>
      <x:c r="J4" s="14" t="str">
        <x:v>Zotero</x:v>
      </x:c>
      <x:c r="K4" s="14" t="str">
        <x:v>Zotero collection</x:v>
      </x:c>
      <x:c r="L4" s="14" t="str">
        <x:v>Unknown</x:v>
      </x:c>
      <x:c r="M4" s="14" t="str"/>
      <x:c r="N4" s="14" t="str">
        <x:v>Preferred record</x:v>
      </x:c>
      <x:c r="O4" s="14" t="str">
        <x:v>a comprehensive performance comparison of machine learning and federated learning for intrusion detection in vehicular ad hoc networks using can bus data</x:v>
      </x:c>
      <x:c r="P4" s="14" t="str"/>
      <x:c r="Q4" s="14" t="str"/>
      <x:c r="R4" s="14" t="str"/>
    </x:row>
    <x:row r="5">
      <x:c r="A5" s="14" t="str">
        <x:v>Z004</x:v>
      </x:c>
      <x:c r="B5" s="14" t="str">
        <x:v>S003</x:v>
      </x:c>
      <x:c r="C5" s="14" t="str">
        <x:v>Securing automotive networks from dos and fuzzy attacks with optimized lstm models</x:v>
      </x:c>
      <x:c r="D5" s="14" t="str">
        <x:v>W. B. Dennyson; C. Jothikumar</x:v>
      </x:c>
      <x:c r="E5" s="14" t="n">
        <x:v>2025</x:v>
      </x:c>
      <x:c r="F5" s="14" t="str">
        <x:v>10.1007/s44196-025-00782-y</x:v>
      </x:c>
      <x:c r="G5" s="14" t="str">
        <x:v>https://link.springer.com/article/10.1007/s44196-025-00782-y</x:v>
      </x:c>
      <x:c r="H5" s="14" t="str">
        <x:v>journalArticle</x:v>
      </x:c>
      <x:c r="I5" s="14" t="str"/>
      <x:c r="J5" s="14" t="str"/>
      <x:c r="K5" s="14" t="str">
        <x:v>Zotero collection</x:v>
      </x:c>
      <x:c r="L5" s="14" t="str">
        <x:v>Unknown</x:v>
      </x:c>
      <x:c r="M5" s="14" t="str"/>
      <x:c r="N5" s="14" t="str">
        <x:v>Preferred record</x:v>
      </x:c>
      <x:c r="O5" s="14" t="str">
        <x:v>securing automotive networks from dos and fuzzy attacks with optimized lstm models</x:v>
      </x:c>
      <x:c r="P5" s="14" t="str"/>
      <x:c r="Q5" s="14" t="str"/>
      <x:c r="R5" s="14" t="str">
        <x:v>… driving status of the vehicle to detect the masquerade attack [9]. Graph-based convolutional … cybersecurity by proposing an LSTM-BFO hybrid system for CAN bus attack detection and …</x:v>
      </x:c>
    </x:row>
    <x:row r="6">
      <x:c r="A6" s="14" t="str">
        <x:v>Z005</x:v>
      </x:c>
      <x:c r="B6" s="14" t="str">
        <x:v>S004</x:v>
      </x:c>
      <x:c r="C6" s="14" t="str">
        <x:v>Multiple observation HMM-based CAN bus intrusion detection system for in-vehicle network</x:v>
      </x:c>
      <x:c r="D6" s="14" t="str">
        <x:v>C. Dong; H. Wu; Q. Li</x:v>
      </x:c>
      <x:c r="E6" s="14" t="n">
        <x:v>2023</x:v>
      </x:c>
      <x:c r="F6" s="14" t="str"/>
      <x:c r="G6" s="14" t="str">
        <x:v>https://ieeexplore.ieee.org/iel7/6287639/10005208/10093873.pdf</x:v>
      </x:c>
      <x:c r="H6" s="14" t="str">
        <x:v>journalArticle</x:v>
      </x:c>
      <x:c r="I6" s="14" t="str"/>
      <x:c r="J6" s="14" t="str"/>
      <x:c r="K6" s="14" t="str">
        <x:v>Zotero collection</x:v>
      </x:c>
      <x:c r="L6" s="14" t="str">
        <x:v>Unknown</x:v>
      </x:c>
      <x:c r="M6" s="14" t="str"/>
      <x:c r="N6" s="14" t="str">
        <x:v>Duplicate/alternate version</x:v>
      </x:c>
      <x:c r="O6" s="14" t="str">
        <x:v>multiple observation hmm based can bus intrusion detection system for in vehicle network</x:v>
      </x:c>
      <x:c r="P6" s="14" t="str"/>
      <x:c r="Q6" s="14" t="str"/>
      <x:c r="R6" s="14" t="str">
        <x:v>… forwarded to a detector based on LSTM. The proposed algorithm achieved good … the vehicle CAN bus operation. Fig. 9 shows the masquerade attack scenario against the CAN bus. The …</x:v>
      </x:c>
    </x:row>
    <x:row r="7">
      <x:c r="A7" s="14" t="str">
        <x:v>E014</x:v>
      </x:c>
      <x:c r="B7" s="14" t="str">
        <x:v>S004</x:v>
      </x:c>
      <x:c r="C7" s="14" t="str">
        <x:v>Multiple Observation HMM-Based CAN Bus Intrusion Detection System for In-Vehicle Network</x:v>
      </x:c>
      <x:c r="D7" s="14" t="str">
        <x:v>Chen Dong, Hao Wu, Qingyuan Li</x:v>
      </x:c>
      <x:c r="E7" s="14" t="n">
        <x:v>2023</x:v>
      </x:c>
      <x:c r="F7" s="14" t="str">
        <x:v>10.1109/access.2023.3265018</x:v>
      </x:c>
      <x:c r="G7" s="14" t="str">
        <x:v>https://ieeexplore.ieee.org/iel7/6287639/10005208/10093873.pdf (DOI: 10.1109/ACCESS.2023.3265018)</x:v>
      </x:c>
      <x:c r="H7" s="14" t="str">
        <x:v>Journal article (IEEE Access)</x:v>
      </x:c>
      <x:c r="I7" s="14" t="str"/>
      <x:c r="J7" s="14" t="str"/>
      <x:c r="K7" s="14" t="str">
        <x:v>Existing evidence matrix</x:v>
      </x:c>
      <x:c r="L7" s="14" t="str">
        <x:v>Yes</x:v>
      </x:c>
      <x:c r="M7" s="14" t="str"/>
      <x:c r="N7" s="14" t="str">
        <x:v>Preferred record</x:v>
      </x:c>
      <x:c r="O7" s="14" t="str">
        <x:v>multiple observation hmm based can bus intrusion detection system for in vehicle network</x:v>
      </x:c>
      <x:c r="P7" s="14" t="str">
        <x:v>Feuil2</x:v>
      </x:c>
      <x:c r="Q7" s="14" t="n">
        <x:v>10</x:v>
      </x:c>
      <x:c r="R7" s="14" t="str"/>
    </x:row>
    <x:row r="8">
      <x:c r="A8" s="14" t="str">
        <x:v>Z006</x:v>
      </x:c>
      <x:c r="B8" s="14" t="str">
        <x:v>S005</x:v>
      </x:c>
      <x:c r="C8" s="14" t="str">
        <x:v>AI-driven intrusion detection systems (IDS) on the ROAD dataset: A comparative analysis for automotive controller area network (CAN)</x:v>
      </x:c>
      <x:c r="D8" s="14" t="str">
        <x:v>L. Guerra; L. Xu; P. Bellavista; T. Chapuis; G. Duc; ...</x:v>
      </x:c>
      <x:c r="E8" s="14" t="n">
        <x:v>2023</x:v>
      </x:c>
      <x:c r="F8" s="14" t="str">
        <x:v>10.1145/3689936.3694696</x:v>
      </x:c>
      <x:c r="G8" s="14" t="str">
        <x:v>https://dl.acm.org/doi/abs/10.1145/3689936.3694696</x:v>
      </x:c>
      <x:c r="H8" s="14" t="str">
        <x:v>journalArticle</x:v>
      </x:c>
      <x:c r="I8" s="14" t="str"/>
      <x:c r="J8" s="14" t="str"/>
      <x:c r="K8" s="14" t="str">
        <x:v>Zotero collection</x:v>
      </x:c>
      <x:c r="L8" s="14" t="str">
        <x:v>Unknown</x:v>
      </x:c>
      <x:c r="M8" s="14" t="str"/>
      <x:c r="N8" s="14" t="str">
        <x:v>Duplicate/alternate version</x:v>
      </x:c>
      <x:c r="O8" s="14" t="str">
        <x:v>ai driven intrusion detection systems ids on the road dataset a comparative analysis for automotive controller area network can</x:v>
      </x:c>
      <x:c r="P8" s="14" t="str"/>
      <x:c r="Q8" s="14" t="str"/>
      <x:c r="R8" s="14" t="str">
        <x:v>… Missing Encryption: the data transmitted on the CAN bus is … how they performed a masquerade attack on the Jeep … The best performing model was composed by a single LSTM …</x:v>
      </x:c>
    </x:row>
    <x:row r="9">
      <x:c r="A9" s="14" t="str">
        <x:v>Z048</x:v>
      </x:c>
      <x:c r="B9" s="14" t="str">
        <x:v>S005</x:v>
      </x:c>
      <x:c r="C9" s="14" t="str">
        <x:v>AI-Driven Intrusion Detection Systems (IDS) on the ROAD Dataset: A Comparative Analysis for Automotive Controller Area Network (CAN)</x:v>
      </x:c>
      <x:c r="D9" s="14" t="str">
        <x:v>Lorenzo Guerra; Linhan Xu; Paolo Bellavista; Thomas Chapuis; Guillaume Duc; Pavlo Mozharovskyi; Van-Tam Nguyen</x:v>
      </x:c>
      <x:c r="E9" s="14" t="n">
        <x:v>2023</x:v>
      </x:c>
      <x:c r="F9" s="14" t="str"/>
      <x:c r="G9" s="14" t="str">
        <x:v>http://arxiv.org/abs/2408.17235</x:v>
      </x:c>
      <x:c r="H9" s="14" t="str">
        <x:v>conferencePaper</x:v>
      </x:c>
      <x:c r="I9" s="14" t="str"/>
      <x:c r="J9" s="14" t="str">
        <x:v>arXiv.org</x:v>
      </x:c>
      <x:c r="K9" s="14" t="str">
        <x:v>Zotero collection</x:v>
      </x:c>
      <x:c r="L9" s="14" t="str">
        <x:v>Unknown</x:v>
      </x:c>
      <x:c r="M9" s="14" t="str"/>
      <x:c r="N9" s="14" t="str">
        <x:v>Duplicate/alternate version</x:v>
      </x:c>
      <x:c r="O9" s="14" t="str">
        <x:v>ai driven intrusion detection systems ids on the road dataset a comparative analysis for automotive controller area network can</x:v>
      </x:c>
      <x:c r="P9" s="14" t="str"/>
      <x:c r="Q9" s="14" t="str"/>
      <x:c r="R9" s="14" t="str">
        <x:v>The integration of digital devices in modern vehicles has revolutionized automotive technology, enhancing safety and the overall driving experience. The Controller Area Network (CAN) bus is a central system for managing in-vehicle communication between the electronic control units (ECUs). However, the CAN protocol poses security challenges due to inherent vulnerabilities, lacking encryption and authentication, which, combined with an expanding attack surface, necessitates robust security measures. In response to this challenge, numerous Intrusion Detection Systems (IDS) have been developed and deployed. Nonetheless, an open, comprehensive, and realistic dataset to test the effectiveness of such IDSs remains absent in the existing literature. This paper addresses this gap by considering the latest ROAD dataset, containing stealthy and sophisticated injections. The methodology involves dataset labelling and the implementation of both state-of-the-art deep learning models and traditional machine learning models to show the discrepancy in performance between the datasets most commonly used in the literature and the ROAD dataset, a more realistic alternative.</x:v>
      </x:c>
    </x:row>
    <x:row r="10">
      <x:c r="A10" s="14" t="str">
        <x:v>E011</x:v>
      </x:c>
      <x:c r="B10" s="14" t="str">
        <x:v>S005</x:v>
      </x:c>
      <x:c r="C10" s="14" t="str">
        <x:v>AI-Driven Intrusion Detection Systems (IDS) on the ROAD Dataset: A Comparative Analysis for Automotive Controller Area Network (CAN)</x:v>
      </x:c>
      <x:c r="D10" s="14" t="str">
        <x:v>Lorenzo Guerra, Linhan Xu, Paolo Bellavista, Thomas Chapuis, Guillaume Duc, Pavlo Mozharovskyi, Van-Tam Nguyen</x:v>
      </x:c>
      <x:c r="E10" s="14" t="n">
        <x:v>2024</x:v>
      </x:c>
      <x:c r="F10" s="14" t="str">
        <x:v>10.1145/3689936.3694696</x:v>
      </x:c>
      <x:c r="G10" s="14" t="str">
        <x:v>https://dl.acm.org/doi/abs/10.1145/3689936.3694696</x:v>
      </x:c>
      <x:c r="H10" s="14" t="str">
        <x:v>Conference paper (ACM CSCS '24 — Cyber Security in CarS Workshop)</x:v>
      </x:c>
      <x:c r="I10" s="14" t="str"/>
      <x:c r="J10" s="14" t="str"/>
      <x:c r="K10" s="14" t="str">
        <x:v>Existing evidence matrix</x:v>
      </x:c>
      <x:c r="L10" s="14" t="str">
        <x:v>Yes</x:v>
      </x:c>
      <x:c r="M10" s="14" t="str"/>
      <x:c r="N10" s="14" t="str">
        <x:v>Preferred record</x:v>
      </x:c>
      <x:c r="O10" s="14" t="str">
        <x:v>ai driven intrusion detection systems ids on the road dataset a comparative analysis for automotive controller area network can</x:v>
      </x:c>
      <x:c r="P10" s="14" t="str">
        <x:v>Feuil2</x:v>
      </x:c>
      <x:c r="Q10" s="14" t="n">
        <x:v>7</x:v>
      </x:c>
      <x:c r="R10" s="14" t="str"/>
    </x:row>
    <x:row r="11">
      <x:c r="A11" s="14" t="str">
        <x:v>Z007</x:v>
      </x:c>
      <x:c r="B11" s="14" t="str">
        <x:v>S006</x:v>
      </x:c>
      <x:c r="C11" s="14" t="str">
        <x:v>In-vehicle communication cyber security: challenges and solutions</x:v>
      </x:c>
      <x:c r="D11" s="14" t="str">
        <x:v>R. S. Rathore; C. Hewage; O. Kaiwartya; J. Lloret</x:v>
      </x:c>
      <x:c r="E11" s="14" t="n">
        <x:v>2022</x:v>
      </x:c>
      <x:c r="F11" s="14" t="str"/>
      <x:c r="G11" s="14" t="str">
        <x:v>https://www.mdpi.com/1424-8220/22/17/6679</x:v>
      </x:c>
      <x:c r="H11" s="14" t="str">
        <x:v>journalArticle</x:v>
      </x:c>
      <x:c r="I11" s="14" t="str"/>
      <x:c r="J11" s="14" t="str"/>
      <x:c r="K11" s="14" t="str">
        <x:v>Zotero collection</x:v>
      </x:c>
      <x:c r="L11" s="14" t="str">
        <x:v>Unknown</x:v>
      </x:c>
      <x:c r="M11" s="14" t="str"/>
      <x:c r="N11" s="14" t="str">
        <x:v>Preferred record</x:v>
      </x:c>
      <x:c r="O11" s="14" t="str">
        <x:v>in vehicle communication cyber security challenges and solutions</x:v>
      </x:c>
      <x:c r="P11" s="14" t="str"/>
      <x:c r="Q11" s="14" t="str"/>
      <x:c r="R11" s="14" t="str">
        <x:v>… CAN bus limitations. Additionally, a survey of attack scenarios and corresponding solutions for CAN bus … taken into consideration for detection based on LSTM. The results showed high …</x:v>
      </x:c>
    </x:row>
    <x:row r="12">
      <x:c r="A12" s="14" t="str">
        <x:v>Z008</x:v>
      </x:c>
      <x:c r="B12" s="14" t="str">
        <x:v>S007</x:v>
      </x:c>
      <x:c r="C12" s="14" t="str">
        <x:v>Analysis of cyber security attacks and its solutions for the smart grid using machine learning and blockchain methods</x:v>
      </x:c>
      <x:c r="D12" s="14" t="str">
        <x:v>T. Mazhar; H. M. Irfan; S. Khan; I. Haq; I. Ullah; M. Iqbal; ...</x:v>
      </x:c>
      <x:c r="E12" s="14" t="n">
        <x:v>2023</x:v>
      </x:c>
      <x:c r="F12" s="14" t="str"/>
      <x:c r="G12" s="14" t="str">
        <x:v>https://www.mdpi.com/1999-5903/15/2/83</x:v>
      </x:c>
      <x:c r="H12" s="14" t="str">
        <x:v>journalArticle</x:v>
      </x:c>
      <x:c r="I12" s="14" t="str"/>
      <x:c r="J12" s="14" t="str"/>
      <x:c r="K12" s="14" t="str">
        <x:v>Zotero collection</x:v>
      </x:c>
      <x:c r="L12" s="14" t="str">
        <x:v>Unknown</x:v>
      </x:c>
      <x:c r="M12" s="14" t="str"/>
      <x:c r="N12" s="14" t="str">
        <x:v>Preferred record</x:v>
      </x:c>
      <x:c r="O12" s="14" t="str">
        <x:v>analysis of cyber security attacks and its solutions for the smart grid using machine learning and blockchain methods</x:v>
      </x:c>
      <x:c r="P12" s="14" t="str"/>
      <x:c r="Q12" s="14" t="str"/>
      <x:c r="R12" s="14" t="str">
        <x:v>… data link layer of smart grids is the masquerade attack. This attack puts the security of the … The results show that the auto-encoder-based prediction model performs better than the LSTM, …</x:v>
      </x:c>
    </x:row>
    <x:row r="13">
      <x:c r="A13" s="14" t="str">
        <x:v>Z009</x:v>
      </x:c>
      <x:c r="B13" s="14" t="str">
        <x:v>S008</x:v>
      </x:c>
      <x:c r="C13" s="14" t="str">
        <x:v>Detecting in-vehicle intrusion via semi-supervised learning-based convolutional adversarial autoencoders</x:v>
      </x:c>
      <x:c r="D13" s="14" t="str">
        <x:v>T. N. Hoang</x:v>
      </x:c>
      <x:c r="E13" s="14" t="n">
        <x:v>2022</x:v>
      </x:c>
      <x:c r="F13" s="14" t="str"/>
      <x:c r="G13" s="14" t="str">
        <x:v>https://www.scopus.com/inward/record.uri?partnerID=HzOxMe3b\&amp;scp=85138043501\&amp;origin=inward</x:v>
      </x:c>
      <x:c r="H13" s="14" t="str">
        <x:v>journalArticle</x:v>
      </x:c>
      <x:c r="I13" s="14" t="str">
        <x:v>Vehicular Communications</x:v>
      </x:c>
      <x:c r="J13" s="14" t="str"/>
      <x:c r="K13" s="14" t="str">
        <x:v>Zotero collection</x:v>
      </x:c>
      <x:c r="L13" s="14" t="str">
        <x:v>Unknown</x:v>
      </x:c>
      <x:c r="M13" s="14" t="str"/>
      <x:c r="N13" s="14" t="str">
        <x:v>Duplicate/alternate version</x:v>
      </x:c>
      <x:c r="O13" s="14" t="str">
        <x:v>detecting in vehicle intrusion via semi supervised learning based convolutional adversarial autoencoders</x:v>
      </x:c>
      <x:c r="P13" s="14" t="str"/>
      <x:c r="Q13" s="14" t="str"/>
      <x:c r="R13" s="14" t="str"/>
    </x:row>
    <x:row r="14">
      <x:c r="A14" s="14" t="str">
        <x:v>E013</x:v>
      </x:c>
      <x:c r="B14" s="14" t="str">
        <x:v>S008</x:v>
      </x:c>
      <x:c r="C14" s="14" t="str">
        <x:v>Detecting In-Vehicle Intrusion via Semi-Supervised Learning-Based Convolutional Adversarial Autoencoders</x:v>
      </x:c>
      <x:c r="D14" s="14" t="str">
        <x:v>Thien-Nu Hoang, Daehee Kim</x:v>
      </x:c>
      <x:c r="E14" s="14" t="n">
        <x:v>2022</x:v>
      </x:c>
      <x:c r="F14" s="14" t="str">
        <x:v>10.1016/j.vehcom.2022.100520</x:v>
      </x:c>
      <x:c r="G14" s="14" t="str">
        <x:v>https://doi.org/10.1016/j.vehcom.2022.100520</x:v>
      </x:c>
      <x:c r="H14" s="14" t="str">
        <x:v>Journal article (Vehicular Communications); originally circulated as an arXiv preprint</x:v>
      </x:c>
      <x:c r="I14" s="14" t="str"/>
      <x:c r="J14" s="14" t="str"/>
      <x:c r="K14" s="14" t="str">
        <x:v>Existing evidence matrix</x:v>
      </x:c>
      <x:c r="L14" s="14" t="str">
        <x:v>Yes</x:v>
      </x:c>
      <x:c r="M14" s="14" t="str"/>
      <x:c r="N14" s="14" t="str">
        <x:v>Preferred record</x:v>
      </x:c>
      <x:c r="O14" s="14" t="str">
        <x:v>detecting in vehicle intrusion via semi supervised learning based convolutional adversarial autoencoders</x:v>
      </x:c>
      <x:c r="P14" s="14" t="str">
        <x:v>Feuil2</x:v>
      </x:c>
      <x:c r="Q14" s="14" t="n">
        <x:v>9</x:v>
      </x:c>
      <x:c r="R14" s="14" t="str"/>
    </x:row>
    <x:row r="15">
      <x:c r="A15" s="14" t="str">
        <x:v>Z010</x:v>
      </x:c>
      <x:c r="B15" s="14" t="str">
        <x:v>S009</x:v>
      </x:c>
      <x:c r="C15" s="14" t="str">
        <x:v>A robust multi-stage intrusion detection system for in-vehicle network security using hierarchical federated learning</x:v>
      </x:c>
      <x:c r="D15" s="14" t="str">
        <x:v>M. Althunayyan</x:v>
      </x:c>
      <x:c r="E15" s="14" t="n">
        <x:v>2024</x:v>
      </x:c>
      <x:c r="F15" s="14" t="str"/>
      <x:c r="G15" s="14" t="str">
        <x:v>https://www.scopus.com/inward/record.uri?partnerID=HzOxMe3b\&amp;scp=85202843899\&amp;origin=inward</x:v>
      </x:c>
      <x:c r="H15" s="14" t="str">
        <x:v>journalArticle</x:v>
      </x:c>
      <x:c r="I15" s="14" t="str"/>
      <x:c r="J15" s="14" t="str"/>
      <x:c r="K15" s="14" t="str">
        <x:v>Zotero collection</x:v>
      </x:c>
      <x:c r="L15" s="14" t="str">
        <x:v>Unknown</x:v>
      </x:c>
      <x:c r="M15" s="14" t="str"/>
      <x:c r="N15" s="14" t="str">
        <x:v>Preferred record</x:v>
      </x:c>
      <x:c r="O15" s="14" t="str">
        <x:v>a robust multi stage intrusion detection system for in vehicle network security using hierarchical federated learning</x:v>
      </x:c>
      <x:c r="P15" s="14" t="str"/>
      <x:c r="Q15" s="14" t="str"/>
      <x:c r="R15" s="14" t="str"/>
    </x:row>
    <x:row r="16">
      <x:c r="A16" s="14" t="str">
        <x:v>Z011</x:v>
      </x:c>
      <x:c r="B16" s="14" t="str">
        <x:v>S010</x:v>
      </x:c>
      <x:c r="C16" s="14" t="str">
        <x:v>A novel intrusion detection model for the CAN bus packet of in-vehicle network based on attention mechanism and autoencoder</x:v>
      </x:c>
      <x:c r="D16" s="14" t="str">
        <x:v>P. Wei</x:v>
      </x:c>
      <x:c r="E16" s="14" t="n">
        <x:v>2023</x:v>
      </x:c>
      <x:c r="F16" s="14" t="str"/>
      <x:c r="G16" s="14" t="str">
        <x:v>https://www.scopus.com/inward/record.uri?partnerID=HzOxMe3b\&amp;scp=85145001747\&amp;origin=inward</x:v>
      </x:c>
      <x:c r="H16" s="14" t="str">
        <x:v>journalArticle</x:v>
      </x:c>
      <x:c r="I16" s="14" t="str">
        <x:v>Digital Communications and Networks</x:v>
      </x:c>
      <x:c r="J16" s="14" t="str"/>
      <x:c r="K16" s="14" t="str">
        <x:v>Zotero collection</x:v>
      </x:c>
      <x:c r="L16" s="14" t="str">
        <x:v>Unknown</x:v>
      </x:c>
      <x:c r="M16" s="14" t="str"/>
      <x:c r="N16" s="14" t="str">
        <x:v>Preferred record</x:v>
      </x:c>
      <x:c r="O16" s="14" t="str">
        <x:v>a novel intrusion detection model for the can bus packet of in vehicle network based on attention mechanism and autoencoder</x:v>
      </x:c>
      <x:c r="P16" s="14" t="str"/>
      <x:c r="Q16" s="14" t="str"/>
      <x:c r="R16" s="14" t="str"/>
    </x:row>
    <x:row r="17">
      <x:c r="A17" s="14" t="str">
        <x:v>Z012</x:v>
      </x:c>
      <x:c r="B17" s="14" t="str">
        <x:v>S011</x:v>
      </x:c>
      <x:c r="C17" s="14" t="str">
        <x:v>Multi-attack and multi-classification intrusion detection for vehicle-mounted networks based on mosaic-coded convolutional neural network</x:v>
      </x:c>
      <x:c r="D17" s="14" t="str">
        <x:v>R. Hu</x:v>
      </x:c>
      <x:c r="E17" s="14" t="n">
        <x:v>2022</x:v>
      </x:c>
      <x:c r="F17" s="14" t="str"/>
      <x:c r="G17" s="14" t="str">
        <x:v>https://www.scopus.com/inward/record.uri?partnerID=HzOxMe3b\&amp;scp=85128434964\&amp;origin=inward</x:v>
      </x:c>
      <x:c r="H17" s="14" t="str">
        <x:v>journalArticle</x:v>
      </x:c>
      <x:c r="I17" s="14" t="str">
        <x:v>Scientific Reports</x:v>
      </x:c>
      <x:c r="J17" s="14" t="str"/>
      <x:c r="K17" s="14" t="str">
        <x:v>Zotero collection</x:v>
      </x:c>
      <x:c r="L17" s="14" t="str">
        <x:v>Unknown</x:v>
      </x:c>
      <x:c r="M17" s="14" t="str"/>
      <x:c r="N17" s="14" t="str">
        <x:v>Preferred record</x:v>
      </x:c>
      <x:c r="O17" s="14" t="str">
        <x:v>multi attack and multi classification intrusion detection for vehicle mounted networks based on mosaic coded convolutional neural network</x:v>
      </x:c>
      <x:c r="P17" s="14" t="str"/>
      <x:c r="Q17" s="14" t="str"/>
      <x:c r="R17" s="14" t="str"/>
    </x:row>
    <x:row r="18">
      <x:c r="A18" s="14" t="str">
        <x:v>Z013</x:v>
      </x:c>
      <x:c r="B18" s="14" t="str">
        <x:v>S012</x:v>
      </x:c>
      <x:c r="C18" s="14" t="str">
        <x:v>Beyond vanilla: Improved autoencoder-based ensemble in-vehicle intrusion detection system</x:v>
      </x:c>
      <x:c r="D18" s="14" t="str">
        <x:v>S. Rajapaksha</x:v>
      </x:c>
      <x:c r="E18" s="14" t="n">
        <x:v>2023</x:v>
      </x:c>
      <x:c r="F18" s="14" t="str"/>
      <x:c r="G18" s="14" t="str">
        <x:v>https://www.scopus.com/inward/record.uri?partnerID=HzOxMe3b\&amp;scp=85172418340\&amp;origin=inward</x:v>
      </x:c>
      <x:c r="H18" s="14" t="str">
        <x:v>journalArticle</x:v>
      </x:c>
      <x:c r="I18" s="14" t="str">
        <x:v>Journal of Information Security and Applications</x:v>
      </x:c>
      <x:c r="J18" s="14" t="str"/>
      <x:c r="K18" s="14" t="str">
        <x:v>Zotero collection</x:v>
      </x:c>
      <x:c r="L18" s="14" t="str">
        <x:v>Unknown</x:v>
      </x:c>
      <x:c r="M18" s="14" t="str"/>
      <x:c r="N18" s="14" t="str">
        <x:v>Duplicate/alternate version</x:v>
      </x:c>
      <x:c r="O18" s="14" t="str">
        <x:v>beyond vanilla improved autoencoder based ensemble in vehicle intrusion detection system</x:v>
      </x:c>
      <x:c r="P18" s="14" t="str"/>
      <x:c r="Q18" s="14" t="str"/>
      <x:c r="R18" s="14" t="str"/>
    </x:row>
    <x:row r="19">
      <x:c r="A19" s="14" t="str">
        <x:v>E012</x:v>
      </x:c>
      <x:c r="B19" s="14" t="str">
        <x:v>S012</x:v>
      </x:c>
      <x:c r="C19" s="14" t="str">
        <x:v>Beyond Vanilla: Improved Autoencoder-Based Ensemble In-Vehicle Intrusion Detection System</x:v>
      </x:c>
      <x:c r="D19" s="14" t="str">
        <x:v>Sampath Rajapaksha, Harsha Kalutarage, M. Omar Al-Kadri, Andrei Petrovski, Garikayi Madzudzo</x:v>
      </x:c>
      <x:c r="E19" s="14" t="n">
        <x:v>2023</x:v>
      </x:c>
      <x:c r="F19" s="14" t="str">
        <x:v>10.1016/j.jisa.2023.103570</x:v>
      </x:c>
      <x:c r="G19" s="14" t="str">
        <x:v>https://doi.org/10.1016/j.jisa.2023.103570</x:v>
      </x:c>
      <x:c r="H19" s="14" t="str">
        <x:v>Journal article (Journal of Information Security and Applications)</x:v>
      </x:c>
      <x:c r="I19" s="14" t="str"/>
      <x:c r="J19" s="14" t="str"/>
      <x:c r="K19" s="14" t="str">
        <x:v>Existing evidence matrix</x:v>
      </x:c>
      <x:c r="L19" s="14" t="str">
        <x:v>Yes</x:v>
      </x:c>
      <x:c r="M19" s="14" t="str"/>
      <x:c r="N19" s="14" t="str">
        <x:v>Preferred record</x:v>
      </x:c>
      <x:c r="O19" s="14" t="str">
        <x:v>beyond vanilla improved autoencoder based ensemble in vehicle intrusion detection system</x:v>
      </x:c>
      <x:c r="P19" s="14" t="str">
        <x:v>Feuil2</x:v>
      </x:c>
      <x:c r="Q19" s="14" t="n">
        <x:v>8</x:v>
      </x:c>
      <x:c r="R19" s="14" t="str"/>
    </x:row>
    <x:row r="20">
      <x:c r="A20" s="14" t="str">
        <x:v>Z014</x:v>
      </x:c>
      <x:c r="B20" s="14" t="str">
        <x:v>S013</x:v>
      </x:c>
      <x:c r="C20" s="14" t="str">
        <x:v>Intrusion Detection for Internet of Vehicles CAN Bus Communications Using Machine Learning: An Empirical Study on the CICIoV2024 Dataset | MDPI</x:v>
      </x:c>
      <x:c r="D20" s="14" t="str"/>
      <x:c r="E20" s="14" t="str"/>
      <x:c r="F20" s="14" t="str"/>
      <x:c r="G20" s="14" t="str">
        <x:v>https://www.mdpi.com/1999-5903/18/1/42</x:v>
      </x:c>
      <x:c r="H20" s="14" t="str">
        <x:v>webpage</x:v>
      </x:c>
      <x:c r="I20" s="14" t="str"/>
      <x:c r="J20" s="14" t="str"/>
      <x:c r="K20" s="14" t="str">
        <x:v>Zotero collection</x:v>
      </x:c>
      <x:c r="L20" s="14" t="str">
        <x:v>Unknown</x:v>
      </x:c>
      <x:c r="M20" s="14" t="str"/>
      <x:c r="N20" s="14" t="str">
        <x:v>Preferred record</x:v>
      </x:c>
      <x:c r="O20" s="14" t="str">
        <x:v>intrusion detection for internet of vehicles can bus communications using machine learning an empirical study on the ciciov2024 dataset mdpi</x:v>
      </x:c>
      <x:c r="P20" s="14" t="str"/>
      <x:c r="Q20" s="14" t="str"/>
      <x:c r="R20" s="14" t="str"/>
    </x:row>
    <x:row r="21">
      <x:c r="A21" s="14" t="str">
        <x:v>Z015</x:v>
      </x:c>
      <x:c r="B21" s="14" t="str">
        <x:v>S014</x:v>
      </x:c>
      <x:c r="C21" s="14" t="str">
        <x:v>Machine Learning Based Intrusion Detection Framework for CAN Bus Vulnerabilities in Modern Vehicles - ProQuest</x:v>
      </x:c>
      <x:c r="D21" s="14" t="str"/>
      <x:c r="E21" s="14" t="str"/>
      <x:c r="F21" s="14" t="str"/>
      <x:c r="G21" s="14" t="str">
        <x:v>https://www.proquest.com/openview/cf69c717b827e85bb2d1dc3d03d8ab5f/1?pq-origsite=gscholar\&amp;cbl=18750\&amp;diss=y</x:v>
      </x:c>
      <x:c r="H21" s="14" t="str">
        <x:v>webpage</x:v>
      </x:c>
      <x:c r="I21" s="14" t="str"/>
      <x:c r="J21" s="14" t="str"/>
      <x:c r="K21" s="14" t="str">
        <x:v>Zotero collection</x:v>
      </x:c>
      <x:c r="L21" s="14" t="str">
        <x:v>Unknown</x:v>
      </x:c>
      <x:c r="M21" s="14" t="str"/>
      <x:c r="N21" s="14" t="str">
        <x:v>Preferred record</x:v>
      </x:c>
      <x:c r="O21" s="14" t="str">
        <x:v>machine learning based intrusion detection framework for can bus vulnerabilities in modern vehicles proquest</x:v>
      </x:c>
      <x:c r="P21" s="14" t="str"/>
      <x:c r="Q21" s="14" t="str"/>
      <x:c r="R21" s="14" t="str">
        <x:v>Explore millions of resources from scholarly journals, books, newspapers, videos and more, on the ProQuest Platform.</x:v>
      </x:c>
    </x:row>
    <x:row r="22">
      <x:c r="A22" s="14" t="str">
        <x:v>Z016</x:v>
      </x:c>
      <x:c r="B22" s="14" t="str">
        <x:v>S015</x:v>
      </x:c>
      <x:c r="C22" s="14" t="str">
        <x:v>Machine learning and blockchain technologies for cybersecurity in connected vehicles - Ahmad - 2024 - WIREs Data Mining and Knowledge Discovery - Wiley Online Library</x:v>
      </x:c>
      <x:c r="D22" s="14" t="str"/>
      <x:c r="E22" s="14" t="str"/>
      <x:c r="F22" s="14" t="str">
        <x:v>10.1002/widm.1515</x:v>
      </x:c>
      <x:c r="G22" s="14" t="str">
        <x:v>https://wires.onlinelibrary.wiley.com/doi/10.1002/widm.1515</x:v>
      </x:c>
      <x:c r="H22" s="14" t="str">
        <x:v>webpage</x:v>
      </x:c>
      <x:c r="I22" s="14" t="str"/>
      <x:c r="J22" s="14" t="str"/>
      <x:c r="K22" s="14" t="str">
        <x:v>Zotero collection</x:v>
      </x:c>
      <x:c r="L22" s="14" t="str">
        <x:v>Unknown</x:v>
      </x:c>
      <x:c r="M22" s="14" t="str"/>
      <x:c r="N22" s="14" t="str">
        <x:v>Preferred record</x:v>
      </x:c>
      <x:c r="O22" s="14" t="str">
        <x:v>machine learning and blockchain technologies for cybersecurity in connected vehicles ahmad 2024 wires data mining and knowledge discovery wiley online library</x:v>
      </x:c>
      <x:c r="P22" s="14" t="str"/>
      <x:c r="Q22" s="14" t="str"/>
      <x:c r="R22" s="14" t="str"/>
    </x:row>
    <x:row r="23">
      <x:c r="A23" s="14" t="str">
        <x:v>Z017</x:v>
      </x:c>
      <x:c r="B23" s="14" t="str">
        <x:v>S016</x:v>
      </x:c>
      <x:c r="C23" s="14" t="str">
        <x:v>Semantic Scholar | AI-Powered Research Tool</x:v>
      </x:c>
      <x:c r="D23" s="14" t="str"/>
      <x:c r="E23" s="14" t="str"/>
      <x:c r="F23" s="14" t="str"/>
      <x:c r="G23" s="14" t="str">
        <x:v>https://www.semanticscholar.org/</x:v>
      </x:c>
      <x:c r="H23" s="14" t="str">
        <x:v>webpage</x:v>
      </x:c>
      <x:c r="I23" s="14" t="str"/>
      <x:c r="J23" s="14" t="str"/>
      <x:c r="K23" s="14" t="str">
        <x:v>Zotero collection</x:v>
      </x:c>
      <x:c r="L23" s="14" t="str">
        <x:v>Unknown</x:v>
      </x:c>
      <x:c r="M23" s="14" t="str"/>
      <x:c r="N23" s="14" t="str">
        <x:v>Preferred record</x:v>
      </x:c>
      <x:c r="O23" s="14" t="str">
        <x:v>semantic scholar ai powered research tool</x:v>
      </x:c>
      <x:c r="P23" s="14" t="str"/>
      <x:c r="Q23" s="14" t="str"/>
      <x:c r="R23" s="14" t="str">
        <x:v>Semantic Scholar uses groundbreaking AI and engineering to understand the semantics of scientific literature to help Scholars discover relevant research.</x:v>
      </x:c>
    </x:row>
    <x:row r="24">
      <x:c r="A24" s="14" t="str">
        <x:v>Z018</x:v>
      </x:c>
      <x:c r="B24" s="14" t="str">
        <x:v>S017</x:v>
      </x:c>
      <x:c r="C24" s="14" t="str">
        <x:v>V2C: A Trust-Based Vehicle to Cloud Anomaly Detection Framework for Automotive Systems | Proceedings of the 16th International Conference on Availability, Reliability and Security</x:v>
      </x:c>
      <x:c r="D24" s="14" t="str"/>
      <x:c r="E24" s="14" t="str"/>
      <x:c r="F24" s="14" t="str">
        <x:v>10.1145/3465481.3465750</x:v>
      </x:c>
      <x:c r="G24" s="14" t="str">
        <x:v>https://dl.acm.org/doi/abs/10.1145/3465481.3465750</x:v>
      </x:c>
      <x:c r="H24" s="14" t="str">
        <x:v>webpage</x:v>
      </x:c>
      <x:c r="I24" s="14" t="str"/>
      <x:c r="J24" s="14" t="str"/>
      <x:c r="K24" s="14" t="str">
        <x:v>Zotero collection</x:v>
      </x:c>
      <x:c r="L24" s="14" t="str">
        <x:v>Unknown</x:v>
      </x:c>
      <x:c r="M24" s="14" t="str"/>
      <x:c r="N24" s="14" t="str">
        <x:v>Preferred record</x:v>
      </x:c>
      <x:c r="O24" s="14" t="str">
        <x:v>v2c a trust based vehicle to cloud anomaly detection framework for automotive systems proceedings of the 16th international conference on availability reliability and security</x:v>
      </x:c>
      <x:c r="P24" s="14" t="str"/>
      <x:c r="Q24" s="14" t="str"/>
      <x:c r="R24" s="14" t="str"/>
    </x:row>
    <x:row r="25">
      <x:c r="A25" s="14" t="str">
        <x:v>Z019</x:v>
      </x:c>
      <x:c r="B25" s="14" t="str">
        <x:v>S018</x:v>
      </x:c>
      <x:c r="C25" s="14" t="str">
        <x:v>Toward Generative AI-Based Intrusion Detection Systems for the Internet of Vehicles (IoV)</x:v>
      </x:c>
      <x:c r="D25" s="14" t="str">
        <x:v>Isra Mahmoudi; Djallel Eddine Boubiche; Samir Athmani; Homero Toral-Cruz; Freddy I. Chan-Puc</x:v>
      </x:c>
      <x:c r="E25" s="14" t="n">
        <x:v>2025</x:v>
      </x:c>
      <x:c r="F25" s="14" t="str"/>
      <x:c r="G25" s="14" t="str">
        <x:v>https://www.mdpi.com/1999-5903/17/7/310</x:v>
      </x:c>
      <x:c r="H25" s="14" t="str">
        <x:v>journalArticle</x:v>
      </x:c>
      <x:c r="I25" s="14" t="str">
        <x:v>Future Internet</x:v>
      </x:c>
      <x:c r="J25" s="14" t="str">
        <x:v>www.mdpi.com</x:v>
      </x:c>
      <x:c r="K25" s="14" t="str">
        <x:v>Zotero collection</x:v>
      </x:c>
      <x:c r="L25" s="14" t="str">
        <x:v>Unknown</x:v>
      </x:c>
      <x:c r="M25" s="14" t="str"/>
      <x:c r="N25" s="14" t="str">
        <x:v>Preferred record</x:v>
      </x:c>
      <x:c r="O25" s="14" t="str">
        <x:v>toward generative ai based intrusion detection systems for the internet of vehicles iov</x:v>
      </x:c>
      <x:c r="P25" s="14" t="str"/>
      <x:c r="Q25" s="14" t="str"/>
      <x:c r="R25" s="14" t="str">
        <x:v>The increasing complexity and scale of Internet of Vehicles (IoV) networks pose significant security challenges, necessitating the development of advanced intrusion detection systems (IDS). Traditional IDS approaches, such as rule-based and signature-based methods, are often inadequate in detecting novel and sophisticated attacks due to their limited adaptability and dependency on predefined patterns. To overcome these limitations, machine learning (ML) and deep learning (DL)-based IDS have been introduced, offering better generalization and the ability to learn from data. However, these models can still struggle with zero-day attacks, require large volumes of labeled data, and may be vulnerable to adversarial examples. In response to these challenges, Generative AI-based IDS—leveraging models such as Generative Adversarial Networks (GANs), Variational Autoencoders (VAEs), and Transformers—have emerged as promising solutions that offer enhanced adaptability, synthetic data generation for training, and improved detection capabilities for evolving threats. This survey provides an overview of IoV architecture, vulnerabilities, and classical IDS techniques while focusing on the growing role of Generative AI in strengthening IoV security. It discusses the current landscape, highlights the key challenges, and outlines future research directions aimed at building more resilient and intelligent IDS for the IoV ecosystem.</x:v>
      </x:c>
    </x:row>
    <x:row r="26">
      <x:c r="A26" s="14" t="str">
        <x:v>Z020</x:v>
      </x:c>
      <x:c r="B26" s="14" t="str">
        <x:v>S019</x:v>
      </x:c>
      <x:c r="C26" s="14" t="str">
        <x:v>Agentic AI-Driven Cybersecurity for Cloud-Connected Automotive Systems</x:v>
      </x:c>
      <x:c r="D26" s="14" t="str">
        <x:v>Anand Polamarasetti; Viswaprakash Yammanur; Naresh Ravuri; Veera Venkata Ramana Murthy Bokka; Rahul Vadisetty; Klodian Dhoska; Evjola Spaho</x:v>
      </x:c>
      <x:c r="E26" s="14" t="n">
        <x:v>2026</x:v>
      </x:c>
      <x:c r="F26" s="14" t="str"/>
      <x:c r="G26" s="14" t="str"/>
      <x:c r="H26" s="14" t="str">
        <x:v>conferencePaper</x:v>
      </x:c>
      <x:c r="I26" s="14" t="str"/>
      <x:c r="J26" s="14" t="str">
        <x:v>Springer Link</x:v>
      </x:c>
      <x:c r="K26" s="14" t="str">
        <x:v>Zotero collection</x:v>
      </x:c>
      <x:c r="L26" s="14" t="str">
        <x:v>Unknown</x:v>
      </x:c>
      <x:c r="M26" s="14" t="str"/>
      <x:c r="N26" s="14" t="str">
        <x:v>Preferred record</x:v>
      </x:c>
      <x:c r="O26" s="14" t="str">
        <x:v>agentic ai driven cybersecurity for cloud connected automotive systems</x:v>
      </x:c>
      <x:c r="P26" s="14" t="str"/>
      <x:c r="Q26" s="14" t="str"/>
      <x:c r="R26" s="14" t="str">
        <x:v>This research investigates the application of agentic AI-based cybersecurity solutions to car systems connected to the cloud and minimizes car-to-cloud communication risks. As cloud computing increasingly pervades modern vehicles, defending car systems from cyberattacks is crucial. This research investigates whether using agentic AI, autonomous, independent AI agents that deal instantaneously and autonomously with threats, could provide improved security to car systems connected to the car. Based on analysis of observed events and AI model performance, agentic AI performed significantly better than traditional security protocols, registering 92% accuracy against threats, 40% faster response time, and 35% fewer false positives compared to current approaches. This research illustrates the ability of agentic AI to provide scalable, adaptive, and robust security against potential cyber threats to the automotive industry. It opens up research and development paths toward more sophisticated AI-based security architectures.</x:v>
      </x:c>
    </x:row>
    <x:row r="27">
      <x:c r="A27" s="14" t="str">
        <x:v>Z021</x:v>
      </x:c>
      <x:c r="B27" s="14" t="str">
        <x:v>S020</x:v>
      </x:c>
      <x:c r="C27" s="14" t="str">
        <x:v>Perspective: A Novel Resilient Cybersecurity Management System for Connected and Automated Vehicles</x:v>
      </x:c>
      <x:c r="D27" s="14" t="str">
        <x:v>Haoran Guang; Yongling He; Bowen Zheng; Weifeng Gong; Yi Shi; Hao Wu; Yaoguang Cao; Shichun Yang; Hamid Reza Karimi</x:v>
      </x:c>
      <x:c r="E27" s="14" t="n">
        <x:v>2025</x:v>
      </x:c>
      <x:c r="F27" s="14" t="str">
        <x:v>10.1007/s42154-025-00355-x</x:v>
      </x:c>
      <x:c r="G27" s="14" t="str">
        <x:v>https://doi.org/10.1007/s42154-025-00355-x</x:v>
      </x:c>
      <x:c r="H27" s="14" t="str">
        <x:v>journalArticle</x:v>
      </x:c>
      <x:c r="I27" s="14" t="str">
        <x:v>Automotive Innovation</x:v>
      </x:c>
      <x:c r="J27" s="14" t="str">
        <x:v>Springer Link</x:v>
      </x:c>
      <x:c r="K27" s="14" t="str">
        <x:v>Zotero collection</x:v>
      </x:c>
      <x:c r="L27" s="14" t="str">
        <x:v>Unknown</x:v>
      </x:c>
      <x:c r="M27" s="14" t="str"/>
      <x:c r="N27" s="14" t="str">
        <x:v>Preferred record</x:v>
      </x:c>
      <x:c r="O27" s="14" t="str">
        <x:v>perspective a novel resilient cybersecurity management system for connected and automated vehicles</x:v>
      </x:c>
      <x:c r="P27" s="14" t="str"/>
      <x:c r="Q27" s="14" t="str"/>
      <x:c r="R27" s="14" t="str">
        <x:v>Technologies such as Advanced Driving Assistance System (ADAS) and Vehicle-to-Everything (V2X) in Connected and Automated Vehicles (CAVs) have greatly enhanced the comfort and convenience of driving. However, the increasing levels of intelligence and connectivity also expose CAVs to severe cybersecurity risks. The vehicles, Internet of Vehicles (IoV) and the cloud servers for CAVs are vulnerable to cyberattacks. Furthermore, many standards and regulations require Original Equipment Manufacturers (OEMs) to consider potential cybersecurity threats when designing and developing CAV products. Consequently, ensuring the cybersecurity for vehicles, networks, and the cloud has become a critical issue that OEMs must address. However, the vast number of CAVs and the variety of the vehicular network make it difficult for the existing cybersecurity assessment and protection methods to satisfy the requirements of the entire vehicle, IoV and cloud. This paper reviews the cybersecurity requirements and potential vulnerabilities of CAVs, the IoV, and cloud servers. Existing cybersecurity assessment, protection and operation methods are summarized. A novel resilient cybersecurity management system is proposed to address the cybersecurity challenges of CAVs. This proposed system can orchestrate management policies and allocate resources based on the urgency of cybersecurity tasks across the vehicle, IoV and cloud, which is suitable for the rapidly evolving CAVs and the continuously expanding services.</x:v>
      </x:c>
    </x:row>
    <x:row r="28">
      <x:c r="A28" s="14" t="str">
        <x:v>Z022</x:v>
      </x:c>
      <x:c r="B28" s="14" t="str">
        <x:v>S021</x:v>
      </x:c>
      <x:c r="C28" s="14" t="str">
        <x:v>A reliable cyber-attack detection architecture for cyber-physical systems in SDN-enabled internet of vehicles</x:v>
      </x:c>
      <x:c r="D28" s="14" t="str">
        <x:v>Monire Norouzi; Zeynep Gürkaş-Aydın</x:v>
      </x:c>
      <x:c r="E28" s="14" t="n">
        <x:v>2026</x:v>
      </x:c>
      <x:c r="F28" s="14" t="str">
        <x:v>10.1007/s10586-025-05929-2</x:v>
      </x:c>
      <x:c r="G28" s="14" t="str">
        <x:v>https://doi.org/10.1007/s10586-025-05929-2</x:v>
      </x:c>
      <x:c r="H28" s="14" t="str">
        <x:v>journalArticle</x:v>
      </x:c>
      <x:c r="I28" s="14" t="str">
        <x:v>Cluster Computing</x:v>
      </x:c>
      <x:c r="J28" s="14" t="str">
        <x:v>Springer Link</x:v>
      </x:c>
      <x:c r="K28" s="14" t="str">
        <x:v>Zotero collection</x:v>
      </x:c>
      <x:c r="L28" s="14" t="str">
        <x:v>Unknown</x:v>
      </x:c>
      <x:c r="M28" s="14" t="str"/>
      <x:c r="N28" s="14" t="str">
        <x:v>Preferred record</x:v>
      </x:c>
      <x:c r="O28" s="14" t="str">
        <x:v>a reliable cyber attack detection architecture for cyber physical systems in sdn enabled internet of vehicles</x:v>
      </x:c>
      <x:c r="P28" s="14" t="str"/>
      <x:c r="Q28" s="14" t="str"/>
      <x:c r="R28" s="14" t="str">
        <x:v>Today, the Internet of Vehicles (IoV) is a new and very attractive technology in automotive communications. IoV networks can combine Internet-connected devices to store, process, and analyze real-time data in intelligent transportation. However, detecting cyberattacks in this environment is inevitable and remains a major challenge, as malicious threats can disrupt vehicle communications, leading to network congestion and safety risks. To enhance security in IoV networks, software-defined networking (SDN) provides a centralized and flexible framework for managing traffic flow and implementing security measures. In this study, we propose a novel Intrusion Detection System (IDS) for SDN-enabled IoV environments. Our proposed Genetic Algorithm-Ensemble Bagging Trees (GA-EBT) hybrid model employs the Message Queuing Telemetry Transport (MQTT) protocol for secure data transmission and integrates a hybrid machine-learning model to predict and detect cyber threats in IoV networks. Using the IoT_SDN-IDS and MQTT-IoT-IDS2020 datasets, we complete a comprehensive case study to evaluate various machine learning algorithms. Our findings indicate that our hybrid GA-EBT model performs more effectively than previous models. Simulation results show accuracy up to 99.9931% and 99.997% on the IoT_SDN-IDS and MQTT-IoT-IDS2020 datasets, respectively. The results prove that our hybrid SDN-based cyber-attack detection model effectively detects cyber-attack threats in IoV environments. Moreover, the proposed GA-EBT model provides secure data interaction and improves vehicular communication reliability.</x:v>
      </x:c>
    </x:row>
    <x:row r="29">
      <x:c r="A29" s="14" t="str">
        <x:v>Z023</x:v>
      </x:c>
      <x:c r="B29" s="14" t="str">
        <x:v>S022</x:v>
      </x:c>
      <x:c r="C29" s="14" t="str">
        <x:v>Deep Transfer Learning Techniques in Intrusion Detection System-Internet of Vehicles: A State-of-the-Art Review</x:v>
      </x:c>
      <x:c r="D29" s="14" t="str">
        <x:v>Wufei Wu; Javad Hassannataj Joloudari; Senthil Kumar Jagatheesaperumal; Kandala N. V. P. S. Rajesh; Silvia Gaftandzhieva; Sadiq Hussain; Rahimullah Rabih; Najibullah Haqjoo; Mobeen Nazar; Hamed Vahdat-Nejad; Rositsa Doneva</x:v>
      </x:c>
      <x:c r="E29" s="14" t="n">
        <x:v>2024</x:v>
      </x:c>
      <x:c r="F29" s="14" t="str"/>
      <x:c r="G29" s="14" t="str">
        <x:v>https://www.techscience.com/cmc/v80n2/57633</x:v>
      </x:c>
      <x:c r="H29" s="14" t="str">
        <x:v>journalArticle</x:v>
      </x:c>
      <x:c r="I29" s="14" t="str">
        <x:v>Computers, Materials &amp; Continua</x:v>
      </x:c>
      <x:c r="J29" s="14" t="str">
        <x:v>DOI.org (Crossref)</x:v>
      </x:c>
      <x:c r="K29" s="14" t="str">
        <x:v>Zotero collection</x:v>
      </x:c>
      <x:c r="L29" s="14" t="str">
        <x:v>Unknown</x:v>
      </x:c>
      <x:c r="M29" s="14" t="str"/>
      <x:c r="N29" s="14" t="str">
        <x:v>Preferred record</x:v>
      </x:c>
      <x:c r="O29" s="14" t="str">
        <x:v>deep transfer learning techniques in intrusion detection system internet of vehicles a state of the art review</x:v>
      </x:c>
      <x:c r="P29" s="14" t="str"/>
      <x:c r="Q29" s="14" t="str"/>
      <x:c r="R29" s="14" t="str"/>
    </x:row>
    <x:row r="30">
      <x:c r="A30" s="14" t="str">
        <x:v>Z024</x:v>
      </x:c>
      <x:c r="B30" s="14" t="str">
        <x:v>S023</x:v>
      </x:c>
      <x:c r="C30" s="14" t="str">
        <x:v>SAE Mobilus</x:v>
      </x:c>
      <x:c r="D30" s="14" t="str"/>
      <x:c r="E30" s="14" t="str"/>
      <x:c r="F30" s="14" t="str"/>
      <x:c r="G30" s="14" t="str">
        <x:v>https://saemobilus.sae.org/articles/cyber-security-challenges-v2c-vehicle-network-2024-28-0035</x:v>
      </x:c>
      <x:c r="H30" s="14" t="str">
        <x:v>webpage</x:v>
      </x:c>
      <x:c r="I30" s="14" t="str"/>
      <x:c r="J30" s="14" t="str"/>
      <x:c r="K30" s="14" t="str">
        <x:v>Zotero collection</x:v>
      </x:c>
      <x:c r="L30" s="14" t="str">
        <x:v>Unknown</x:v>
      </x:c>
      <x:c r="M30" s="14" t="str"/>
      <x:c r="N30" s="14" t="str">
        <x:v>Preferred record</x:v>
      </x:c>
      <x:c r="O30" s="14" t="str">
        <x:v>sae mobilus</x:v>
      </x:c>
      <x:c r="P30" s="14" t="str"/>
      <x:c r="Q30" s="14" t="str"/>
      <x:c r="R30" s="14" t="str"/>
    </x:row>
    <x:row r="31">
      <x:c r="A31" s="14" t="str">
        <x:v>Z025</x:v>
      </x:c>
      <x:c r="B31" s="14" t="str">
        <x:v>S024</x:v>
      </x:c>
      <x:c r="C31" s="14" t="str">
        <x:v>CLOUD-BASED REAL-TIME DATA ANALYTICS FOR AUTONOMOUS VEHICLES</x:v>
      </x:c>
      <x:c r="D31" s="14" t="str"/>
      <x:c r="E31" s="14" t="n">
        <x:v>2024</x:v>
      </x:c>
      <x:c r="F31" s="14" t="str"/>
      <x:c r="G31" s="14" t="str"/>
      <x:c r="H31" s="14" t="str">
        <x:v>journalArticle</x:v>
      </x:c>
      <x:c r="I31" s="14" t="str"/>
      <x:c r="J31" s="14" t="str">
        <x:v>ResearchGate</x:v>
      </x:c>
      <x:c r="K31" s="14" t="str">
        <x:v>Zotero collection</x:v>
      </x:c>
      <x:c r="L31" s="14" t="str">
        <x:v>Unknown</x:v>
      </x:c>
      <x:c r="M31" s="14" t="str"/>
      <x:c r="N31" s="14" t="str">
        <x:v>Preferred record</x:v>
      </x:c>
      <x:c r="O31" s="14" t="str">
        <x:v>cloud based real time data analytics for autonomous vehicles</x:v>
      </x:c>
      <x:c r="P31" s="14" t="str"/>
      <x:c r="Q31" s="14" t="str"/>
      <x:c r="R31" s="14" t="str">
        <x:v>The advancement of autonomous vehicles has become one of the most transformative innovations in modern intelligent transportation systems. These vehicles rely heavily on massive streams of data generated from sensors, cameras, LiDAR, radar, and interconnected infrastructure to ensure safety, efficiency, and reliability. Traditional onboard processing models struggle to meet the demands of real-time decision-making due to constraints in computational power, latency, and scalability. To address these limitations, cloud-based real-time data analytics has emerged as a promising paradigm. By leveraging the elastic computing resources of the cloud, data generated by autonomous vehicles can be processed, stored, and analyzed at scale, enabling improved situational awareness and predictive decision-making. This paper investigates the role of cloud-based analytics in enhancing real-time autonomous vehicle systems, examining architectural frameworks, methodologies, and case studies that demonstrate the balance between latency, accuracy, and scalability. Furthermore, it compares edge, cloud, and hybrid models to identify optimal configurations for high-performance mobility solutions. Findings indicate that integrating cloud platforms with real-time data pipelines enables superior performance in managing massive, dynamic datasets and facilitates innovations in vehicle-to-cloud and vehicle-to-infrastructure communication. The study also identifies ongoing challenges, such as cybersecurity, bandwidth limitations, and policy considerations, while projecting future directions shaped by 5G, edge-cloud convergence, and AI-driven analytics. By providing a comprehensive examination of this emerging domain, the research contributes to both academic discourse and industry applications in building safer and more intelligent autonomous vehicle ecosystems.</x:v>
      </x:c>
    </x:row>
    <x:row r="32">
      <x:c r="A32" s="14" t="str">
        <x:v>Z026</x:v>
      </x:c>
      <x:c r="B32" s="14" t="str">
        <x:v>S025</x:v>
      </x:c>
      <x:c r="C32" s="14" t="str">
        <x:v>Identify Sources and Risks on Cybersecurity for Connected Vehicle Infrastructures</x:v>
      </x:c>
      <x:c r="D32" s="14" t="str">
        <x:v>Pei Sung Lin; Achilleas Kourtellis; Sean Barbeau; Jay Ligatti; Xinming (Simon) Ou; Kevin Dennis; Xiaopeng (Shaw) Li; Zhaohui Liang</x:v>
      </x:c>
      <x:c r="E32" s="14" t="n">
        <x:v>2022</x:v>
      </x:c>
      <x:c r="F32" s="14" t="str"/>
      <x:c r="G32" s="14" t="str">
        <x:v>https://rosap.ntl.bts.gov</x:v>
      </x:c>
      <x:c r="H32" s="14" t="str">
        <x:v>webpage</x:v>
      </x:c>
      <x:c r="I32" s="14" t="str"/>
      <x:c r="J32" s="14" t="str"/>
      <x:c r="K32" s="14" t="str">
        <x:v>Zotero collection</x:v>
      </x:c>
      <x:c r="L32" s="14" t="str">
        <x:v>Unknown</x:v>
      </x:c>
      <x:c r="M32" s="14" t="str"/>
      <x:c r="N32" s="14" t="str">
        <x:v>Preferred record</x:v>
      </x:c>
      <x:c r="O32" s="14" t="str">
        <x:v>identify sources and risks on cybersecurity for connected vehicle infrastructures</x:v>
      </x:c>
      <x:c r="P32" s="14" t="str"/>
      <x:c r="Q32" s="14" t="str"/>
      <x:c r="R32" s="14" t="str">
        <x:v>The transportation industry continues to adopt new technologies, and transportation systems are becoming increasingly connected. One of the latest innovations is the development and deployment of Connected Vehicles (CVs). CVs are vehicles equipped with a broad range of technologies that enable them to communicate with external devices such as other vehicles, roadside infrastructure, and the Internet. The different types of communication have been classified into the categories of Vehicle-to-Infrastructure (V2I), Vehicle-to-Vehicle (V2V), Vehicle-to-Cloud (V2C), Vehicle-to-Pedestrian (V2P), and Vehicle-to-Everything (V2X). CVs offer many benefits, such as significantly improved safety and mobility with cooperation between vehicles and infrastructure. Connected infrastructure includes Roadside Units (RSUs) and anything connected to those such as traffic controllers or other sensors that provide messages to broadcast.</x:v>
      </x:c>
    </x:row>
    <x:row r="33">
      <x:c r="A33" s="14" t="str">
        <x:v>Z027</x:v>
      </x:c>
      <x:c r="B33" s="14" t="str">
        <x:v>S026</x:v>
      </x:c>
      <x:c r="C33" s="14" t="str">
        <x:v>Hybrid Deep Learning Approach for Secure Electric Vehicle Communications in Smart Urban Mobility</x:v>
      </x:c>
      <x:c r="D33" s="14" t="str">
        <x:v>Abdullah Alsaleh</x:v>
      </x:c>
      <x:c r="E33" s="14" t="n">
        <x:v>2025</x:v>
      </x:c>
      <x:c r="F33" s="14" t="str"/>
      <x:c r="G33" s="14" t="str">
        <x:v>https://www.mdpi.com/2624-8921/7/4/112</x:v>
      </x:c>
      <x:c r="H33" s="14" t="str">
        <x:v>journalArticle</x:v>
      </x:c>
      <x:c r="I33" s="14" t="str">
        <x:v>Vehicles</x:v>
      </x:c>
      <x:c r="J33" s="14" t="str">
        <x:v>www.mdpi.com</x:v>
      </x:c>
      <x:c r="K33" s="14" t="str">
        <x:v>Zotero collection</x:v>
      </x:c>
      <x:c r="L33" s="14" t="str">
        <x:v>Unknown</x:v>
      </x:c>
      <x:c r="M33" s="14" t="str"/>
      <x:c r="N33" s="14" t="str">
        <x:v>Preferred record</x:v>
      </x:c>
      <x:c r="O33" s="14" t="str">
        <x:v>hybrid deep learning approach for secure electric vehicle communications in smart urban mobility</x:v>
      </x:c>
      <x:c r="P33" s="14" t="str"/>
      <x:c r="Q33" s="14" t="str"/>
      <x:c r="R33" s="14" t="str">
        <x:v>The increasing adoption of electric vehicles (EVs) within intelligent transportation systems (ITSs) has elevated the importance of cybersecurity, especially with the rise in Vehicle-to-Everything (V2X) communications. Traditional intrusion detection systems (IDSs) struggle to address the evolving and complex nature of cyberattacks in such dynamic environments. To address these challenges, this study introduces a novel deep learning-based IDS designed specifically for EV communication networks. We present a hybrid model that integrates convolutional neural networks (CNNs), long short-term memory (LSTM) layers, and adaptive learning strategies. The model was trained and validated using the VeReMi dataset, which simulates a wide range of attack scenarios in V2X networks. Additionally, an ablation study was conducted to isolate the contribution of each of its modules. The model demonstrated strong performance with 98.73% accuracy, 97.88% precision, 98.91% sensitivity, and 98.55% specificity, as well as an F1-score of 98.39%, an MCC of 0.964, a false-positive rate of 1.45%, and a false-negative rate of 1.09%, with a detection latency of 28 ms and an AUC-ROC of 0.994. Specifically, this work fills a clear gap in the existing V2X intrusion detection literature—namely, the lack of scalable, adaptive, and low-latency IDS solutions for hardware-constrained EV platforms—by proposing a hybrid CNN–LSTM architecture coupled with an elastic weight consolidation (EWC)-based adaptive learning module that enables online updates without full retraining. The proposed model provides a real-time, adaptive, and high-precision IDS for EV networks, supporting safer and more resilient ITS infrastructures.</x:v>
      </x:c>
    </x:row>
    <x:row r="34">
      <x:c r="A34" s="14" t="str">
        <x:v>Z028</x:v>
      </x:c>
      <x:c r="B34" s="14" t="str">
        <x:v>S027</x:v>
      </x:c>
      <x:c r="C34" s="14" t="str">
        <x:v>Detection of cyberattacks in in-vehicle networks using a hierarchical federated learning framework</x:v>
      </x:c>
      <x:c r="D34" s="14" t="str">
        <x:v>Muzun Althunayyan</x:v>
      </x:c>
      <x:c r="E34" s="14" t="n">
        <x:v>2025</x:v>
      </x:c>
      <x:c r="F34" s="14" t="str"/>
      <x:c r="G34" s="14" t="str">
        <x:v>https://orca.cardiff.ac.uk/id/eprint/185347/</x:v>
      </x:c>
      <x:c r="H34" s="14" t="str">
        <x:v>thesis</x:v>
      </x:c>
      <x:c r="I34" s="14" t="str"/>
      <x:c r="J34" s="14" t="str">
        <x:v>orca.cardiff.ac.uk</x:v>
      </x:c>
      <x:c r="K34" s="14" t="str">
        <x:v>Zotero collection</x:v>
      </x:c>
      <x:c r="L34" s="14" t="str">
        <x:v>Unknown</x:v>
      </x:c>
      <x:c r="M34" s="14" t="str"/>
      <x:c r="N34" s="14" t="str">
        <x:v>Preferred record</x:v>
      </x:c>
      <x:c r="O34" s="14" t="str">
        <x:v>detection of cyberattacks in in vehicle networks using a hierarchical federated learning framework</x:v>
      </x:c>
      <x:c r="P34" s="14" t="str"/>
      <x:c r="Q34" s="14" t="str"/>
      <x:c r="R34" s="14" t="str">
        <x:v>Connected and Autonomous Vehicles (CAVs) are expected to become the backbone of future transportation systems. However, the primary protocol for in-vehicle communication, the Controller Area Network (CAN) bus, was not designed with security in mind. As CAVs become increasingly interconnected, this lack of built-in security exposes them to a range of cyberattacks, posing significant risks, including the potential loss of human life. Machine Learning (ML)-based Intrusion Detection Systems (IDSs) have proven effective in identifying cyberattacks on in-vehicle networks. However, existing studies often overlook three critical requirements for in-vehicle IDSs: robustness, resource constraints, and the deployment environment. The overarching aim of this thesis is to improve the security of in-vehicle networks by first analysing CAN bus data to assess the feasibility and effectiveness of feature selection techniques for building a robust IDS. Based on these findings, we propose a novel, multi-stage IDS designed to detect and classify known attacks while also identifying previously unseen attacks. Although the proposed IDS leverages Deep Learning (DL) algorithms, it remains lightweight with a low memory footprint. Most existing approaches rely on centralised training for deployment, which involves transmitting raw data to a central server, raising significant privacy concerns. Federated Learning (FL) addresses these issues by enabling local model training and transmitting model updates instead of raw data. To further enhance IDS robustness, preserve data privacy, and overcome the single point of failure in standard FL, the proposed IDS is deployed within a simulated Hierarchical Federated Learning (H-FL) framework. This framework incorporates multiple edge servers and a central aggregator, enabling collaborative learning from diverse data sources and improving the detection of unknown attacks beyond the coverage of any single server.</x:v>
      </x:c>
    </x:row>
    <x:row r="35">
      <x:c r="A35" s="14" t="str">
        <x:v>Z029</x:v>
      </x:c>
      <x:c r="B35" s="14" t="str">
        <x:v>S028</x:v>
      </x:c>
      <x:c r="C35" s="14" t="str">
        <x:v>Cybersecurity Vulnerabilities in Cloud-Assisted Autonomous Vehicle Routing: Backdoor Attacks on AI Super Networks for Route Manipulation</x:v>
      </x:c>
      <x:c r="D35" s="14" t="str">
        <x:v>James Carrington</x:v>
      </x:c>
      <x:c r="E35" s="14" t="n">
        <x:v>2025</x:v>
      </x:c>
      <x:c r="F35" s="14" t="str"/>
      <x:c r="G35" s="14" t="str">
        <x:v>https://papers.ssrn.com/abstract=6966101</x:v>
      </x:c>
      <x:c r="H35" s="14" t="str">
        <x:v>preprint</x:v>
      </x:c>
      <x:c r="I35" s="14" t="str"/>
      <x:c r="J35" s="14" t="str">
        <x:v>papers.ssrn.com</x:v>
      </x:c>
      <x:c r="K35" s="14" t="str">
        <x:v>Zotero collection</x:v>
      </x:c>
      <x:c r="L35" s="14" t="str">
        <x:v>Unknown</x:v>
      </x:c>
      <x:c r="M35" s="14" t="str"/>
      <x:c r="N35" s="14" t="str">
        <x:v>Preferred record</x:v>
      </x:c>
      <x:c r="O35" s="14" t="str">
        <x:v>cybersecurity vulnerabilities in cloud assisted autonomous vehicle routing backdoor attacks on ai super networks for route manipulation</x:v>
      </x:c>
      <x:c r="P35" s="14" t="str"/>
      <x:c r="Q35" s="14" t="str"/>
      <x:c r="R35" s="14" t="str">
        <x:v>The integration of cloud-assisted artificial intelligence into autonomous vehicle (AV) routing systems promises unprecedented gains in traffic efficiency, energy optimization, and real-time hazard avoidance. However, this architectural shift introduces a critical and underexplored attack surface: the AI super network-a federated or centralized deep learning backbone that fuses global traffic data, vehicular telemetry, and environmental sensors to compute optimal routes. In this work, we expose a novel class of cybersecurity threats wherein adversaries inject backdoor triggers into the training or inference pipeline of these super networks, enabling stealthy, large-scale route manipulation. Unlike conventional GPS spoofing or denial-ofservice attacks, backdoor attacks remain dormant under normal conditions and are activated only by specific spatiotemporal patterns (e.g., subtle weather artifacts, digital map overlays, or synchronized beacon signals), causing targeted AVs to reroute into congested zones, restricted areas, or collision-prone corridors without triggering anomaly detectors. We formalize a threat model for cloud-assisted AV routing, propose three backdoor injection strategies-trainingdata poisoning, model-weight trojaning via federated updates, and adversarial input perturbation during inference-and evaluate their effectiveness on a simulated urban-scale routing environment using real-world traffic datasets. Our results demonstrate that a single backdoor trigger can divert up to 78% of affected AV fleets with less than 0.5% deviation in nominal routing metrics, evading both statistical and learning-based detection baselines. This research underscores that AI super networks, despite their intelligence, are brittle under coordinated backdoor compromise, demanding a paradigm shift in secure V2X (vehicle-toeverything) architecture design.</x:v>
      </x:c>
    </x:row>
    <x:row r="36">
      <x:c r="A36" s="14" t="str">
        <x:v>Z030</x:v>
      </x:c>
      <x:c r="B36" s="14" t="str">
        <x:v>S029</x:v>
      </x:c>
      <x:c r="C36" s="14" t="str">
        <x:v>Explainable edge–cloud federated intrusion detection system for electric vehicles using GRUs, DRL selection, and integrated gradients</x:v>
      </x:c>
      <x:c r="D36" s="14" t="str">
        <x:v>Arash Heidari; Seyed Hamed Rastegar; Ahmad Khonsari</x:v>
      </x:c>
      <x:c r="E36" s="14" t="n">
        <x:v>2026</x:v>
      </x:c>
      <x:c r="F36" s="14" t="str">
        <x:v>10.1186/s40537-026-01505-6</x:v>
      </x:c>
      <x:c r="G36" s="14" t="str">
        <x:v>https://link.springer.com/10.1186/s40537-026-01505-6</x:v>
      </x:c>
      <x:c r="H36" s="14" t="str">
        <x:v>journalArticle</x:v>
      </x:c>
      <x:c r="I36" s="14" t="str">
        <x:v>Journal of Big Data</x:v>
      </x:c>
      <x:c r="J36" s="14" t="str">
        <x:v>DOI.org (Crossref)</x:v>
      </x:c>
      <x:c r="K36" s="14" t="str">
        <x:v>Zotero collection</x:v>
      </x:c>
      <x:c r="L36" s="14" t="str">
        <x:v>Unknown</x:v>
      </x:c>
      <x:c r="M36" s="14" t="str"/>
      <x:c r="N36" s="14" t="str">
        <x:v>Duplicate/alternate version</x:v>
      </x:c>
      <x:c r="O36" s="14" t="str">
        <x:v>explainable edgecloud federated intrusion detection system for electric vehicles using grus drl selection and integrated gradients</x:v>
      </x:c>
      <x:c r="P36" s="14" t="str"/>
      <x:c r="Q36" s="14" t="str"/>
      <x:c r="R36" s="14" t="str"/>
    </x:row>
    <x:row r="37">
      <x:c r="A37" s="14" t="str">
        <x:v>E015</x:v>
      </x:c>
      <x:c r="B37" s="14" t="str">
        <x:v>S029</x:v>
      </x:c>
      <x:c r="C37" s="14" t="str">
        <x:v>Explainable Edge-Cloud Federated Intrusion Detection System for Electric Vehicles Using GRUs, DRL Selection, and Integrated Gradients</x:v>
      </x:c>
      <x:c r="D37" s="14" t="str">
        <x:v>Arash Heidari, Seyed Hamed Rastegar, Ahmad Khonsari</x:v>
      </x:c>
      <x:c r="E37" s="14" t="n">
        <x:v>2026</x:v>
      </x:c>
      <x:c r="F37" s="14" t="str">
        <x:v>10.1186/s40537-026-01505-6</x:v>
      </x:c>
      <x:c r="G37" s="14" t="str">
        <x:v>https://doi.org/10.1186/s40537-026-01505-6</x:v>
      </x:c>
      <x:c r="H37" s="14" t="str">
        <x:v>Journal article (Journal of Big Data, Springer) — Accepted manuscript / 'Article in Press' (accepted 12 July 2026, published online 12 Aug 2026).</x:v>
      </x:c>
      <x:c r="I37" s="14" t="str"/>
      <x:c r="J37" s="14" t="str"/>
      <x:c r="K37" s="14" t="str">
        <x:v>Existing evidence matrix</x:v>
      </x:c>
      <x:c r="L37" s="14" t="str">
        <x:v>Yes</x:v>
      </x:c>
      <x:c r="M37" s="14" t="str"/>
      <x:c r="N37" s="14" t="str">
        <x:v>Preferred record</x:v>
      </x:c>
      <x:c r="O37" s="14" t="str">
        <x:v>explainable edge cloud federated intrusion detection system for electric vehicles using grus drl selection and integrated gradients</x:v>
      </x:c>
      <x:c r="P37" s="14" t="str">
        <x:v>Feuil2</x:v>
      </x:c>
      <x:c r="Q37" s="14" t="n">
        <x:v>11</x:v>
      </x:c>
      <x:c r="R37" s="14" t="str"/>
    </x:row>
    <x:row r="38">
      <x:c r="A38" s="14" t="str">
        <x:v>Z031</x:v>
      </x:c>
      <x:c r="B38" s="14" t="str">
        <x:v>S030</x:v>
      </x:c>
      <x:c r="C38" s="14" t="str">
        <x:v>MIDS: Detecting Stealthy Masquerade and Tampering Attacks on CAN Bus via Bidirectional Mamba</x:v>
      </x:c>
      <x:c r="D38" s="14" t="str">
        <x:v>Qiqi Liu; Runhan Song; Lei Cui; Heng Zhang; Yuyan Sun; Limin Sun</x:v>
      </x:c>
      <x:c r="E38" s="14" t="n">
        <x:v>2026</x:v>
      </x:c>
      <x:c r="F38" s="14" t="str"/>
      <x:c r="G38" s="14" t="str">
        <x:v>http://arxiv.org/abs/2606.18599</x:v>
      </x:c>
      <x:c r="H38" s="14" t="str">
        <x:v>preprint</x:v>
      </x:c>
      <x:c r="I38" s="14" t="str"/>
      <x:c r="J38" s="14" t="str">
        <x:v>arXiv.org</x:v>
      </x:c>
      <x:c r="K38" s="14" t="str">
        <x:v>Zotero collection</x:v>
      </x:c>
      <x:c r="L38" s="14" t="str">
        <x:v>Unknown</x:v>
      </x:c>
      <x:c r="M38" s="14" t="str"/>
      <x:c r="N38" s="14" t="str">
        <x:v>Duplicate/alternate version</x:v>
      </x:c>
      <x:c r="O38" s="14" t="str">
        <x:v>mids detecting stealthy masquerade and tampering attacks on can bus via bidirectional mamba</x:v>
      </x:c>
      <x:c r="P38" s="14" t="str"/>
      <x:c r="Q38" s="14" t="str"/>
      <x:c r="R38" s="14" t="str">
        <x:v>The Controller Area Network (CAN) protocol is the primary communication standard for Electronic Control Units (ECUs) in modern vehicles, but its lack of encryption and authentication exposes it to a range of security threats. Existing intrusion detection systems are largely tuned to fabrication-style attacks (DoS, fuzzing, ID spoofing realised by frame injection), in which detection signals such as per-ID inter-arrival statistics are readily available. We instead address the harder \emph{masquerade} setting~\cite{b37}, in which an internal adversary substitutes a legitimate frame in-situ at its original transmission slot, preserving traffic periodicity and rendering traffic-statistic defences ineffective. We propose the Mamba Intrusion Detection System (MIDS), an innovative dual-stream framework that processes CAN identifiers and payloads in parallel and reconstructs their joint temporal semantics through bidirectional selective state-space modelling. To evaluate MIDS, we collected over 100 million CAN frames from a physical Tesla Model 3 across three driving regimes and synthesised 54 masquerade attack variants spanning ID-only, data-only, and combined modifications. MIDS attains an F1 of 96.94\% on this dataset, exceeding the strongest reproducible baseline by more than 8 percentage points, while sustaining a 1.147~ms single-window inference latency -- ample headroom for real-time onboard deployment. To verify generalisation, we further evaluate MIDS on four public benchmarks (ROAD, CrySyS, OTIDS, CT\&amp;T) covering both masquerade and injection scenarios; MIDS attains F1 from 93.70\% to 99.61\%, outperforming the strongest of eight reproduced baselines by up to 13.94 percentage points under a unified 5-fold protocol.</x:v>
      </x:c>
    </x:row>
    <x:row r="39">
      <x:c r="A39" s="14" t="str">
        <x:v>E009</x:v>
      </x:c>
      <x:c r="B39" s="14" t="str">
        <x:v>S030</x:v>
      </x:c>
      <x:c r="C39" s="14" t="str">
        <x:v>MIDS: Detecting Stealthy Masquerade and Tampering Attacks on CAN Bus via Bidirectional Mamba</x:v>
      </x:c>
      <x:c r="D39" s="14" t="str">
        <x:v>Qiqi Liu, Runhan Song, Lei Cui, Heng Zhang, Yuyan Sun, Limin Sun</x:v>
      </x:c>
      <x:c r="E39" s="14" t="n">
        <x:v>2026</x:v>
      </x:c>
      <x:c r="F39" s="14" t="str"/>
      <x:c r="G39" s="14" t="str">
        <x:v>https://arxiv.org/abs/2606.18599</x:v>
      </x:c>
      <x:c r="H39" s="14" t="str">
        <x:v>arXiv preprint (cs.AI)</x:v>
      </x:c>
      <x:c r="I39" s="14" t="str"/>
      <x:c r="J39" s="14" t="str"/>
      <x:c r="K39" s="14" t="str">
        <x:v>Existing evidence matrix</x:v>
      </x:c>
      <x:c r="L39" s="14" t="str">
        <x:v>Yes</x:v>
      </x:c>
      <x:c r="M39" s="14" t="str"/>
      <x:c r="N39" s="14" t="str">
        <x:v>Preferred record</x:v>
      </x:c>
      <x:c r="O39" s="14" t="str">
        <x:v>mids detecting stealthy masquerade and tampering attacks on can bus via bidirectional mamba</x:v>
      </x:c>
      <x:c r="P39" s="14" t="str">
        <x:v>Feuil2</x:v>
      </x:c>
      <x:c r="Q39" s="14" t="n">
        <x:v>5</x:v>
      </x:c>
      <x:c r="R39" s="14" t="str"/>
    </x:row>
    <x:row r="40">
      <x:c r="A40" s="14" t="str">
        <x:v>Z032</x:v>
      </x:c>
      <x:c r="B40" s="14" t="str">
        <x:v>S031</x:v>
      </x:c>
      <x:c r="C40" s="14" t="str">
        <x:v>Detecting Masquerade Attacks in Controller Area Networks Using Graph Machine Learning</x:v>
      </x:c>
      <x:c r="D40" s="14" t="str">
        <x:v>William Marfo; Pablo Moriano; Deepak K. Tosh; Shirley V. Moore</x:v>
      </x:c>
      <x:c r="E40" s="14" t="n">
        <x:v>2025</x:v>
      </x:c>
      <x:c r="F40" s="14" t="str"/>
      <x:c r="G40" s="14" t="str">
        <x:v>http://arxiv.org/abs/2408.05427</x:v>
      </x:c>
      <x:c r="H40" s="14" t="str">
        <x:v>journalArticle</x:v>
      </x:c>
      <x:c r="I40" s="14" t="str">
        <x:v>IEEE Transactions on Information Forensics and Security</x:v>
      </x:c>
      <x:c r="J40" s="14" t="str">
        <x:v>arXiv.org</x:v>
      </x:c>
      <x:c r="K40" s="14" t="str">
        <x:v>Zotero collection</x:v>
      </x:c>
      <x:c r="L40" s="14" t="str">
        <x:v>Unknown</x:v>
      </x:c>
      <x:c r="M40" s="14" t="str"/>
      <x:c r="N40" s="14" t="str">
        <x:v>Duplicate/alternate version</x:v>
      </x:c>
      <x:c r="O40" s="14" t="str">
        <x:v>detecting masquerade attacks in controller area networks using graph machine learning</x:v>
      </x:c>
      <x:c r="P40" s="14" t="str"/>
      <x:c r="Q40" s="14" t="str"/>
      <x:c r="R40" s="14" t="str">
        <x:v>Modern vehicles rely on a myriad of electronic control units (ECUs) interconnected via controller area networks (CANs) for critical operations. Despite their ubiquitous use and reliability, CANs are susceptible to sophisticated cyberattacks, particularly masquerade attacks, which inject false data that mimic legitimate messages at the expected frequency. These attacks pose severe risks such as unintended acceleration, brake deactivation, and rogue steering. Traditional intrusion detection systems (IDS) often struggle to detect these subtle intrusions due to their seamless integration into normal traffic. This paper introduces a novel framework for detecting masquerade attacks in the CAN bus using graph machine learning (ML). We hypothesize that the integration of shallow graph embeddings with time series features derived from CAN frames enhances the detection of masquerade attacks. We show that by representing CAN bus frames as message sequence graphs (MSGs) and enriching each node with contextual statistical attributes from time series, we can enhance detection capabilities across various attack patterns compared to using graph-based features only. Our method ensures a comprehensive and dynamic analysis of CAN frame interactions, improving robustness and efficiency. Extensive experiments on the ROAD dataset validate the effectiveness of our approach, demonstrating statistically significant improvements in the detection rates of masquerade attacks compared to a baseline that uses graph-based features only as confirmed by Mann-Whitney U and Kolmogorov-Smirnov tests p &lt; 0.05.</x:v>
      </x:c>
    </x:row>
    <x:row r="41">
      <x:c r="A41" s="14" t="str">
        <x:v>E008</x:v>
      </x:c>
      <x:c r="B41" s="14" t="str">
        <x:v>S031</x:v>
      </x:c>
      <x:c r="C41" s="14" t="str">
        <x:v>Detecting Masquerade Attacks in Controller Area Networks Using Graph Machine Learning</x:v>
      </x:c>
      <x:c r="D41" s="14" t="str">
        <x:v>William Marfo, Pablo Moriano, Deepak K. Tosh, Shirley V. Moore</x:v>
      </x:c>
      <x:c r="E41" s="14" t="n">
        <x:v>2024</x:v>
      </x:c>
      <x:c r="F41" s="14" t="str"/>
      <x:c r="G41" s="14" t="str">
        <x:v>https://arxiv.org/abs/2408.05427</x:v>
      </x:c>
      <x:c r="H41" s="14" t="str">
        <x:v>Journal article (arXiv preprint + peer-reviewed journal version)</x:v>
      </x:c>
      <x:c r="I41" s="14" t="str"/>
      <x:c r="J41" s="14" t="str"/>
      <x:c r="K41" s="14" t="str">
        <x:v>Existing evidence matrix</x:v>
      </x:c>
      <x:c r="L41" s="14" t="str">
        <x:v>Yes</x:v>
      </x:c>
      <x:c r="M41" s="14" t="str"/>
      <x:c r="N41" s="14" t="str">
        <x:v>Preferred record</x:v>
      </x:c>
      <x:c r="O41" s="14" t="str">
        <x:v>detecting masquerade attacks in controller area networks using graph machine learning</x:v>
      </x:c>
      <x:c r="P41" s="14" t="str">
        <x:v>Feuil2</x:v>
      </x:c>
      <x:c r="Q41" s="14" t="n">
        <x:v>4</x:v>
      </x:c>
      <x:c r="R41" s="14" t="str"/>
    </x:row>
    <x:row r="42">
      <x:c r="A42" s="14" t="str">
        <x:v>Z033</x:v>
      </x:c>
      <x:c r="B42" s="14" t="str">
        <x:v>S032</x:v>
      </x:c>
      <x:c r="C42" s="14" t="str">
        <x:v>A Comprehensive Guide to CAN IDS Data &amp; Introduction of the ROAD Dataset</x:v>
      </x:c>
      <x:c r="D42" s="14" t="str">
        <x:v>Miki E. Verma; Robert A. Bridges; Michael D. Iannacone; Samuel C. Hollifield; Pablo Moriano; Steven C. Hespeler; Bill Kay; Frank L. Combs</x:v>
      </x:c>
      <x:c r="E42" s="14" t="n">
        <x:v>2024</x:v>
      </x:c>
      <x:c r="F42" s="14" t="str"/>
      <x:c r="G42" s="14" t="str">
        <x:v>http://arxiv.org/abs/2012.14600</x:v>
      </x:c>
      <x:c r="H42" s="14" t="str">
        <x:v>journalArticle</x:v>
      </x:c>
      <x:c r="I42" s="14" t="str">
        <x:v>PLOS ONE</x:v>
      </x:c>
      <x:c r="J42" s="14" t="str">
        <x:v>arXiv.org</x:v>
      </x:c>
      <x:c r="K42" s="14" t="str">
        <x:v>Zotero collection</x:v>
      </x:c>
      <x:c r="L42" s="14" t="str">
        <x:v>Unknown</x:v>
      </x:c>
      <x:c r="M42" s="14" t="str"/>
      <x:c r="N42" s="14" t="str">
        <x:v>Duplicate/alternate version</x:v>
      </x:c>
      <x:c r="O42" s="14" t="str">
        <x:v>a comprehensive guide to can ids data and introduction of the road dataset</x:v>
      </x:c>
      <x:c r="P42" s="14" t="str"/>
      <x:c r="Q42" s="14" t="str"/>
      <x:c r="R42" s="14" t="str">
        <x:v>Although ubiquitous in modern vehicles, Controller Area Networks (CANs) lack basic security properties and are easily exploitable. A rapidly growing field of CAN security research has emerged that seeks to detect intrusions on CANs. Producing vehicular CAN data with a variety of intrusions is out of reach for most researchers as it requires expensive assets and expertise. To assist researchers, we present the first comprehensive guide to the existing open CAN intrusion datasets, including a quality analysis of each dataset and an enumeration of each's benefits, drawbacks, and suggested use case. Current public CAN IDS datasets are limited to real fabrication (simple message injection) attacks and simulated attacks often in synthetic data, which lack fidelity. In general, the physical effects of attacks on the vehicle are not verified in the available datasets. Only one dataset provides signal-translated data but not a corresponding raw binary version. Overall, the available data pigeon-holes CAN IDS works into testing on limited, often inappropriate data (usually with attacks that are too easily detectable to truly test the method), and this lack data has stymied comparability and reproducibility of results. As our primary contribution, we present the ROAD (Real ORNL Automotive Dynamometer) CAN Intrusion Dataset, consisting of over 3.5 hours of one vehicle's CAN data. ROAD contains ambient data recorded during a diverse set of activities, and attacks of increasing stealth with multiple variants and instances of real fuzzing, fabrication, and unique advanced attacks, as well as simulated masquerade attacks. To facilitate benchmarking CAN IDS methods that require signal-translated inputs, we also provide the signal time series format for many of the CAN captures. Our contributions aim to facilitate appropriate benchmarking and needed comparability in the CAN IDS field.</x:v>
      </x:c>
    </x:row>
    <x:row r="43">
      <x:c r="A43" s="14" t="str">
        <x:v>Z039</x:v>
      </x:c>
      <x:c r="B43" s="14" t="str">
        <x:v>S032</x:v>
      </x:c>
      <x:c r="C43" s="14" t="str">
        <x:v>A comprehensive guide to CAN IDS data and introduction of the ROAD dataset</x:v>
      </x:c>
      <x:c r="D43" s="14" t="str">
        <x:v>Miki E. Verma; Robert A. Bridges; Michael D. Iannacone; Samuel C. Hollifield; Pablo Moriano; Steven C. Hespeler; Bill Kay; Frank L. Combs; Kamran Siddique</x:v>
      </x:c>
      <x:c r="E43" s="14" t="n">
        <x:v>2024</x:v>
      </x:c>
      <x:c r="F43" s="14" t="str">
        <x:v>10.1371/journal.pone.0296879</x:v>
      </x:c>
      <x:c r="G43" s="14" t="str">
        <x:v>https://dx.plos.org/10.1371/journal.pone.0296879</x:v>
      </x:c>
      <x:c r="H43" s="14" t="str">
        <x:v>journalArticle</x:v>
      </x:c>
      <x:c r="I43" s="14" t="str"/>
      <x:c r="J43" s="14" t="str">
        <x:v>DOI.org (Crossref)</x:v>
      </x:c>
      <x:c r="K43" s="14" t="str">
        <x:v>Zotero collection</x:v>
      </x:c>
      <x:c r="L43" s="14" t="str">
        <x:v>Unknown</x:v>
      </x:c>
      <x:c r="M43" s="14" t="str"/>
      <x:c r="N43" s="14" t="str">
        <x:v>Duplicate/alternate version</x:v>
      </x:c>
      <x:c r="O43" s="14" t="str">
        <x:v>a comprehensive guide to can ids data and introduction of the road dataset</x:v>
      </x:c>
      <x:c r="P43" s="14" t="str"/>
      <x:c r="Q43" s="14" t="str"/>
      <x:c r="R43" s="14" t="str">
        <x:v>Although ubiquitous in modern vehicles, Controller Area Networks (CANs) lack basic security properties and are easily exploitable. A rapidly growing field of CAN security research has emerged that seeks to detect intrusions or anomalies on CANs. Producing vehicular CAN data with a variety of intrusions is a difficult task for most researchers as it requires expensive assets and deep expertise. To illuminate this task, we introduce the first comprehensive guide to the existing open CAN intrusion detection system (IDS) datasets. We categorize attacks on CANs including fabrication (adding frames, e.g., flooding or targeting and ID), suspension (removing an ID’s frames), and masquerade attacks (spoofed frames sent in lieu of suspended ones). We provide a quality analysis of each dataset; an enumeration of each datasets’ attacks, benefits, and drawbacks; categorization as real vs. simulated CAN data and real vs. simulated attacks; whether the data is raw CAN data or signal-translated; number of vehicles/CANs; quantity in terms of time; and finally a suggested use case of each dataset. State-of-the-art public CAN IDS datasets are limited to real fabrication (simple message injection) attacks and simulated attacks often in synthetic data, lacking fidelity. In general, the physical effects of attacks on the vehicle are not verified in the available datasets. Only one dataset provides signal-translated data but is missing a corresponding “raw” binary version. This issue pigeon-holes CAN IDS research into testing on limited and often inappropriate data (usually with attacks that are too easily detectable to truly test the method). The scarcity of appropriate data has stymied comparability and reproducibility of results for researchers. As our primary contribution, we present the Real ORNL Automotive Dynamometer (ROAD) CAN IDS dataset, consisting of over 3.5 hours of one vehicle’s CAN data. ROAD contains ambient data recorded during a diverse set of activities, and attacks of increasing stealth with multiple variants and instances of real (i.e. non-simulated) fuzzing, fabrication, unique advanced attacks, and simulated masquerade attacks. To facilitate a benchmark for CAN IDS methods that require signal-translated inputs, we also provide the signal time series format for many of the CAN captures. Our contributions aim to facilitate appropriate benchmarking and needed comparability in the CAN IDS research field.</x:v>
      </x:c>
    </x:row>
    <x:row r="44">
      <x:c r="A44" s="14" t="str">
        <x:v>E006</x:v>
      </x:c>
      <x:c r="B44" s="14" t="str">
        <x:v>S032</x:v>
      </x:c>
      <x:c r="C44" s="14" t="str">
        <x:v>A Comprehensive Guide to CAN IDS Data &amp; Introduction of the ROAD Dataset</x:v>
      </x:c>
      <x:c r="D44" s="14" t="str">
        <x:v>Miki E. Verma, Robert A. Bridges, Michael D. Iannacone, Samuel C. Hollifield, Pablo Moriano, Steven C. Hespeler, Bill Kay, Frank L. Combs</x:v>
      </x:c>
      <x:c r="E44" s="14" t="n">
        <x:v>2024</x:v>
      </x:c>
      <x:c r="F44" s="14" t="str"/>
      <x:c r="G44" s="14" t="str">
        <x:v>https://arxiv.org/abs/2012.14600</x:v>
      </x:c>
      <x:c r="H44" s="14" t="str">
        <x:v>Journal article (PLOS ONE); originally arXiv preprint 2020, revised through 2024</x:v>
      </x:c>
      <x:c r="I44" s="14" t="str"/>
      <x:c r="J44" s="14" t="str"/>
      <x:c r="K44" s="14" t="str">
        <x:v>Existing evidence matrix</x:v>
      </x:c>
      <x:c r="L44" s="14" t="str">
        <x:v>Yes</x:v>
      </x:c>
      <x:c r="M44" s="14" t="str"/>
      <x:c r="N44" s="14" t="str">
        <x:v>Preferred record</x:v>
      </x:c>
      <x:c r="O44" s="14" t="str">
        <x:v>a comprehensive guide to can ids data and introduction of the road dataset</x:v>
      </x:c>
      <x:c r="P44" s="14" t="str">
        <x:v>Feuil2</x:v>
      </x:c>
      <x:c r="Q44" s="14" t="n">
        <x:v>2</x:v>
      </x:c>
      <x:c r="R44" s="14" t="str"/>
    </x:row>
    <x:row r="45">
      <x:c r="A45" s="14" t="str">
        <x:v>Z034</x:v>
      </x:c>
      <x:c r="B45" s="14" t="str">
        <x:v>S033</x:v>
      </x:c>
      <x:c r="C45" s="14" t="str">
        <x:v>CANShield: Deep Learning-Based Intrusion Detection Framework for Controller Area Networks at the Signal-Level</x:v>
      </x:c>
      <x:c r="D45" s="14" t="str">
        <x:v>Md Hasan Shahriar; Yang Xiao; Pablo Moriano; Wenjing Lou; Y. Thomas Hou</x:v>
      </x:c>
      <x:c r="E45" s="14" t="n">
        <x:v>2023</x:v>
      </x:c>
      <x:c r="F45" s="14" t="str"/>
      <x:c r="G45" s="14" t="str">
        <x:v>http://arxiv.org/abs/2205.01306</x:v>
      </x:c>
      <x:c r="H45" s="14" t="str">
        <x:v>journalArticle</x:v>
      </x:c>
      <x:c r="I45" s="14" t="str">
        <x:v>IEEE Internet of Things Journal</x:v>
      </x:c>
      <x:c r="J45" s="14" t="str">
        <x:v>arXiv.org</x:v>
      </x:c>
      <x:c r="K45" s="14" t="str">
        <x:v>Zotero collection</x:v>
      </x:c>
      <x:c r="L45" s="14" t="str">
        <x:v>Unknown</x:v>
      </x:c>
      <x:c r="M45" s="14" t="str"/>
      <x:c r="N45" s="14" t="str">
        <x:v>Duplicate/alternate version</x:v>
      </x:c>
      <x:c r="O45" s="14" t="str">
        <x:v>canshield deep learning based intrusion detection framework for controller area networks at the signal level</x:v>
      </x:c>
      <x:c r="P45" s="14" t="str"/>
      <x:c r="Q45" s="14" t="str"/>
      <x:c r="R45" s="14" t="str">
        <x:v>Modern vehicles rely on a fleet of electronic control units (ECUs) connected through controller area network (CAN) buses for critical vehicular control. With the expansion of advanced connectivity features in automobiles and the elevated risks of internal system exposure, the CAN bus is increasingly prone to intrusions and injection attacks. As ordinary injection attacks disrupt the typical timing properties of the CAN data stream, rule-based intrusion detection systems (IDS) can easily detect them. However, advanced attackers can inject false data to the signal/semantic level, while looking innocuous by the pattern/frequency of the CAN messages. The rule-based IDS, as well as the anomaly-based IDS, are built merely on the sequence of CAN messages IDs or just the binary payload data and are less effective in detecting such attacks. Therefore, to detect such intelligent attacks, we propose CANShield, a deep learning-based signal-level intrusion detection framework for the CAN bus. CANShield consists of three modules: a data preprocessing module that handles the high-dimensional CAN data stream at the signal level and parses them into time series suitable for a deep learning model; a data analyzer module consisting of multiple deep autoencoder (AE) networks, each analyzing the time-series data from a different temporal scale and granularity, and finally an attack detection module that uses an ensemble method to make the final decision. Evaluation results on two high-fidelity signal-based CAN attack datasets show the high accuracy and responsiveness of CANShield in detecting advanced intrusion attacks.</x:v>
      </x:c>
    </x:row>
    <x:row r="46">
      <x:c r="A46" s="14" t="str">
        <x:v>Z041</x:v>
      </x:c>
      <x:c r="B46" s="14" t="str">
        <x:v>S033</x:v>
      </x:c>
      <x:c r="C46" s="14" t="str">
        <x:v>CANShield: Deep-Learning-Based Intrusion Detection Framework for Controller Area Networks at the Signal Level</x:v>
      </x:c>
      <x:c r="D46" s="14" t="str">
        <x:v>Md Hasan Shahriar; Yang Xiao; Pablo Moriano; Wenjing Lou; Y. Thomas Hou</x:v>
      </x:c>
      <x:c r="E46" s="14" t="n">
        <x:v>2023</x:v>
      </x:c>
      <x:c r="F46" s="14" t="str"/>
      <x:c r="G46" s="14" t="str">
        <x:v>https://ieeexplore.ieee.org/document/10213280/</x:v>
      </x:c>
      <x:c r="H46" s="14" t="str">
        <x:v>journalArticle</x:v>
      </x:c>
      <x:c r="I46" s="14" t="str"/>
      <x:c r="J46" s="14" t="str">
        <x:v>DOI.org (Crossref)</x:v>
      </x:c>
      <x:c r="K46" s="14" t="str">
        <x:v>Zotero collection</x:v>
      </x:c>
      <x:c r="L46" s="14" t="str">
        <x:v>Unknown</x:v>
      </x:c>
      <x:c r="M46" s="14" t="str"/>
      <x:c r="N46" s="14" t="str">
        <x:v>Duplicate/alternate version</x:v>
      </x:c>
      <x:c r="O46" s="14" t="str">
        <x:v>canshield deep learning based intrusion detection framework for controller area networks at the signal level</x:v>
      </x:c>
      <x:c r="P46" s="14" t="str"/>
      <x:c r="Q46" s="14" t="str"/>
      <x:c r="R46" s="14" t="str"/>
    </x:row>
    <x:row r="47">
      <x:c r="A47" s="14" t="str">
        <x:v>Z049</x:v>
      </x:c>
      <x:c r="B47" s="14" t="str">
        <x:v>S033</x:v>
      </x:c>
      <x:c r="C47" s="14" t="str">
        <x:v>CANShield: Deep Learning-Based Intrusion Detection Framework for Controller Area Networks at the Signal-Level</x:v>
      </x:c>
      <x:c r="D47" s="14" t="str"/>
      <x:c r="E47" s="14" t="str"/>
      <x:c r="F47" s="14" t="str"/>
      <x:c r="G47" s="14" t="str">
        <x:v>https://arxiv.org/html/2205.01306v4</x:v>
      </x:c>
      <x:c r="H47" s="14" t="str">
        <x:v>webpage</x:v>
      </x:c>
      <x:c r="I47" s="14" t="str"/>
      <x:c r="J47" s="14" t="str"/>
      <x:c r="K47" s="14" t="str">
        <x:v>Zotero collection</x:v>
      </x:c>
      <x:c r="L47" s="14" t="str">
        <x:v>Unknown</x:v>
      </x:c>
      <x:c r="M47" s="14" t="str"/>
      <x:c r="N47" s="14" t="str">
        <x:v>Duplicate/alternate version</x:v>
      </x:c>
      <x:c r="O47" s="14" t="str">
        <x:v>canshield deep learning based intrusion detection framework for controller area networks at the signal level</x:v>
      </x:c>
      <x:c r="P47" s="14" t="str"/>
      <x:c r="Q47" s="14" t="str"/>
      <x:c r="R47" s="14" t="str"/>
    </x:row>
    <x:row r="48">
      <x:c r="A48" s="14" t="str">
        <x:v>E004</x:v>
      </x:c>
      <x:c r="B48" s="14" t="str">
        <x:v>S033</x:v>
      </x:c>
      <x:c r="C48" s="14" t="str">
        <x:v>CANShield: Deep Learning-Based Intrusion Detection Framework for Controller Area Networks at the Signal-Level</x:v>
      </x:c>
      <x:c r="D48" s="14" t="str">
        <x:v>Md Hasan Shahriar, Yang Xiao, Pablo Moriano, Wenjing Lou, Y. Thomas Hou</x:v>
      </x:c>
      <x:c r="E48" s="14" t="n">
        <x:v>2023</x:v>
      </x:c>
      <x:c r="F48" s="14" t="str"/>
      <x:c r="G48" s="14" t="str">
        <x:v>https://arxiv.org/abs/2205.01306</x:v>
      </x:c>
      <x:c r="H48" s="14" t="str">
        <x:v>Journal article / accepted IEEE IoT Journal manuscript</x:v>
      </x:c>
      <x:c r="I48" s="14" t="str"/>
      <x:c r="J48" s="14" t="str"/>
      <x:c r="K48" s="14" t="str">
        <x:v>Existing evidence matrix</x:v>
      </x:c>
      <x:c r="L48" s="14" t="str">
        <x:v>Yes</x:v>
      </x:c>
      <x:c r="M48" s="14" t="str"/>
      <x:c r="N48" s="14" t="str">
        <x:v>Preferred record</x:v>
      </x:c>
      <x:c r="O48" s="14" t="str">
        <x:v>canshield deep learning based intrusion detection framework for controller area networks at the signal level</x:v>
      </x:c>
      <x:c r="P48" s="14" t="str">
        <x:v>Feuil1</x:v>
      </x:c>
      <x:c r="Q48" s="14" t="n">
        <x:v>5</x:v>
      </x:c>
      <x:c r="R48" s="14" t="str"/>
    </x:row>
    <x:row r="49">
      <x:c r="A49" s="14" t="str">
        <x:v>Z035</x:v>
      </x:c>
      <x:c r="B49" s="14" t="str">
        <x:v>S034</x:v>
      </x:c>
      <x:c r="C49" s="14" t="str">
        <x:v>Evaluating lightweight unsupervised online IDS for masquerade attacks in CAN</x:v>
      </x:c>
      <x:c r="D49" s="14" t="str">
        <x:v>Pablo Moriano; Steven C. Hespeler; Mingyan Li; Robert A. Bridges</x:v>
      </x:c>
      <x:c r="E49" s="14" t="n">
        <x:v>2026</x:v>
      </x:c>
      <x:c r="F49" s="14" t="str"/>
      <x:c r="G49" s="14" t="str">
        <x:v>http://arxiv.org/abs/2406.13778</x:v>
      </x:c>
      <x:c r="H49" s="14" t="str">
        <x:v>journalArticle</x:v>
      </x:c>
      <x:c r="I49" s="14" t="str">
        <x:v>Journal of Information Security and Applications</x:v>
      </x:c>
      <x:c r="J49" s="14" t="str">
        <x:v>arXiv.org</x:v>
      </x:c>
      <x:c r="K49" s="14" t="str">
        <x:v>Zotero collection</x:v>
      </x:c>
      <x:c r="L49" s="14" t="str">
        <x:v>Unknown</x:v>
      </x:c>
      <x:c r="M49" s="14" t="str"/>
      <x:c r="N49" s="14" t="str">
        <x:v>Duplicate/alternate version</x:v>
      </x:c>
      <x:c r="O49" s="14" t="str">
        <x:v>evaluating lightweight unsupervised online ids for masquerade attacks in can</x:v>
      </x:c>
      <x:c r="P49" s="14" t="str"/>
      <x:c r="Q49" s="14" t="str"/>
      <x:c r="R49" s="14" t="str">
        <x:v>Vehicular controller area networks (CANs) are susceptible to masquerade attacks by malicious adversaries. In masquerade attacks, adversaries silence a targeted ID and then send malicious frames with forged content at the expected timing of benign frames. As masquerade attacks could seriously harm vehicle functionality and are the stealthiest attacks to detect in CAN, recent work has devoted attention to compare frameworks for detecting masquerade attacks in CAN. However, most existing works report offline evaluations using CAN logs already collected using simulations that do not comply with the domain's real-time constraints. Here we contribute to advance the state of the art by presenting a comparative evaluation of four different non-deep learning (DL)-based unsupervised online intrusion detection systems (IDS) for masquerade attacks in CAN. Our approach differs from existing comparative evaluations in that we analyze the effect of controlling streaming data conditions in a sliding window setting. In doing so, we use realistic masquerade attacks being replayed from the ROAD dataset. We show that although evaluated IDS are not effective at detecting every attack type, the method that relies on detecting changes in the hierarchical structure of clusters of time series produces the best results at the expense of higher computational overhead. We discuss limitations, open challenges, and how the evaluated methods can be used for practical unsupervised online CAN IDS for masquerade attacks.</x:v>
      </x:c>
    </x:row>
    <x:row r="50">
      <x:c r="A50" s="14" t="str">
        <x:v>E010</x:v>
      </x:c>
      <x:c r="B50" s="14" t="str">
        <x:v>S034</x:v>
      </x:c>
      <x:c r="C50" s="14" t="str">
        <x:v>Evaluating Lightweight Unsupervised Online IDS for Masquerade Attacks in CAN</x:v>
      </x:c>
      <x:c r="D50" s="14" t="str">
        <x:v>Pablo Moriano, Steven C. Hespeler, Mingyan Li, Robert A. Bridges</x:v>
      </x:c>
      <x:c r="E50" s="14" t="n">
        <x:v>2024</x:v>
      </x:c>
      <x:c r="F50" s="14" t="str"/>
      <x:c r="G50" s="14" t="str">
        <x:v>https://arxiv.org/abs/2406.13778</x:v>
      </x:c>
      <x:c r="H50" s="14" t="str">
        <x:v>Journal article (also circulated as arXiv preprint; ScienceDirect version dated Feb 2026)</x:v>
      </x:c>
      <x:c r="I50" s="14" t="str"/>
      <x:c r="J50" s="14" t="str"/>
      <x:c r="K50" s="14" t="str">
        <x:v>Existing evidence matrix</x:v>
      </x:c>
      <x:c r="L50" s="14" t="str">
        <x:v>Yes</x:v>
      </x:c>
      <x:c r="M50" s="14" t="str"/>
      <x:c r="N50" s="14" t="str">
        <x:v>Preferred record</x:v>
      </x:c>
      <x:c r="O50" s="14" t="str">
        <x:v>evaluating lightweight unsupervised online ids for masquerade attacks in can</x:v>
      </x:c>
      <x:c r="P50" s="14" t="str">
        <x:v>Feuil2</x:v>
      </x:c>
      <x:c r="Q50" s="14" t="n">
        <x:v>6</x:v>
      </x:c>
      <x:c r="R50" s="14" t="str"/>
    </x:row>
    <x:row r="51">
      <x:c r="A51" s="14" t="str">
        <x:v>Z036</x:v>
      </x:c>
      <x:c r="B51" s="14" t="str">
        <x:v>S035</x:v>
      </x:c>
      <x:c r="C51" s="14" t="str">
        <x:v>FALCON-Guard: A Lightweight Explainable Framework for Real-Time Cyber Threat Detection and Adaptive Risk Mitigation in Intelligent Driving Networks</x:v>
      </x:c>
      <x:c r="D51" s="14" t="str">
        <x:v>Fahad Amin; Usman Imtiaz; Dr Ajab Khan</x:v>
      </x:c>
      <x:c r="E51" s="14" t="n">
        <x:v>2025</x:v>
      </x:c>
      <x:c r="F51" s="14" t="str"/>
      <x:c r="G51" s="14" t="str">
        <x:v>https://mrcis.org/index.php/journal/article/view/161</x:v>
      </x:c>
      <x:c r="H51" s="14" t="str">
        <x:v>journalArticle</x:v>
      </x:c>
      <x:c r="I51" s="14" t="str">
        <x:v>Multidisciplinary Research in Computing Information Systems</x:v>
      </x:c>
      <x:c r="J51" s="14" t="str">
        <x:v>mrcis.org</x:v>
      </x:c>
      <x:c r="K51" s="14" t="str">
        <x:v>Zotero collection</x:v>
      </x:c>
      <x:c r="L51" s="14" t="str">
        <x:v>Unknown</x:v>
      </x:c>
      <x:c r="M51" s="14" t="str"/>
      <x:c r="N51" s="14" t="str">
        <x:v>Preferred record</x:v>
      </x:c>
      <x:c r="O51" s="14" t="str">
        <x:v>falcon guard a lightweight explainable framework for real time cyber threat detection and adaptive risk mitigation in intelligent driving networks</x:v>
      </x:c>
      <x:c r="P51" s="14" t="str"/>
      <x:c r="Q51" s="14" t="str"/>
      <x:c r="R51" s="14" t="str">
        <x:v>Controller Area Network (CAN), Automotive Ethernet and vehicle-to-everything (V2X) communication are vital for the growing use of connected and automated vehicles. This connectivity enhances perception and traffic coordination, but also opens the door to message flooding, spoofing, replay, sensor falsifying and coordinated misbehavior of safety-critical electronic control units. Current IDS solutions tend to focus on classification accuracy while neglecting deployment expenses, explainability, and active response following a breach. In this paper, we propose a novel entropy-weighted adaptive feature compression, a lightweight CNN-BiLSTM detector, reconstruction consistency checking, confidence calibration and a rule-based response layer-based edge-oriented architecture, termed FALCON-Guard. Unlike intrusion detection being a standalone classifier, the proposed framework considers the detection and threat ranking and threat mitigation, including logging, rate limiting, domain isolation, and safety-mode activation, to be linked to the detection. This paper designed a newly generated simulation dataset of 320,000 event windows, which is a combination of temporal fields and V2X misbehavior attributes extracted from CAN. FALCON-Guard achieved 98.61% accuracy, 98.26% recall, 98.34% F1 score, 0.94M trainable parameters and 4.7ms average detection latency in the simulated evaluation, compared to the conventional machine-learning and deep temporal baselines using the same protocol. The results show that compressed temporal learning preserves the safety relevant attack evidence while reducing the computational burden. The study provides an end-to-end implementation and conceptual design blueprint for deployable intelligent-driving cyber defense and emphasizes the importance of testing the solution in real vehicles and validated automotive edge platforms.</x:v>
      </x:c>
    </x:row>
    <x:row r="52">
      <x:c r="A52" s="14" t="str">
        <x:v>Z037</x:v>
      </x:c>
      <x:c r="B52" s="14" t="str">
        <x:v>S036</x:v>
      </x:c>
      <x:c r="C52" s="14" t="str">
        <x:v>Network Anomaly Detection in Distributed Edge Computing Infrastructure</x:v>
      </x:c>
      <x:c r="D52" s="14" t="str">
        <x:v>William Marfo; Enrique A. Rico; Deepak K. Tosh; Shirley V. Moore</x:v>
      </x:c>
      <x:c r="E52" s="14" t="n">
        <x:v>2025</x:v>
      </x:c>
      <x:c r="F52" s="14" t="str"/>
      <x:c r="G52" s="14" t="str">
        <x:v>https://ieeexplore.ieee.org/document/10976032/</x:v>
      </x:c>
      <x:c r="H52" s="14" t="str">
        <x:v>conferencePaper</x:v>
      </x:c>
      <x:c r="I52" s="14" t="str"/>
      <x:c r="J52" s="14" t="str">
        <x:v>DOI.org (Crossref)</x:v>
      </x:c>
      <x:c r="K52" s="14" t="str">
        <x:v>Zotero collection</x:v>
      </x:c>
      <x:c r="L52" s="14" t="str">
        <x:v>Unknown</x:v>
      </x:c>
      <x:c r="M52" s="14" t="str"/>
      <x:c r="N52" s="14" t="str">
        <x:v>Preferred record</x:v>
      </x:c>
      <x:c r="O52" s="14" t="str">
        <x:v>network anomaly detection in distributed edge computing infrastructure</x:v>
      </x:c>
      <x:c r="P52" s="14" t="str"/>
      <x:c r="Q52" s="14" t="str"/>
      <x:c r="R52" s="14" t="str">
        <x:v>As networks continue to grow in complexity and scale, detecting anomalies has become increasingly challenging, particularly in diverse and geographically dispersed environments. Traditional approaches often struggle with managing the computational burden associated with analyzing large-scale network traffic to identify anomalies. This paper introduces a distributed edge computing framework that integrates federated learning with Apache Spark and Kubernetes to address these challenges. We hypothesize that our approach, which enables collaborative model training across distributed nodes, significantly enhances the detection accuracy of network anomalies across different network types. We show that by leveraging distributed computing and containerization technologies, our framework not only improves scalability and fault tolerance but also achieves superior detection performance compared to state-of-the-art methods. Extensive experiments on the UNSW-NB15 and ROAD datasets validate the effectiveness of our approach, demonstrating statistically significant improvements in detection accuracy and training efficiency over baseline models, as confirmed by MannWhitney U and Kolmogorov-Smirnov tests (p &lt; 0.05).</x:v>
      </x:c>
    </x:row>
    <x:row r="53">
      <x:c r="A53" s="14" t="str">
        <x:v>Z038</x:v>
      </x:c>
      <x:c r="B53" s="14" t="str">
        <x:v>S037</x:v>
      </x:c>
      <x:c r="C53" s="14" t="str">
        <x:v>Controller Area Network Cybersecurity</x:v>
      </x:c>
      <x:c r="D53" s="14" t="str"/>
      <x:c r="E53" s="14" t="str"/>
      <x:c r="F53" s="14" t="str"/>
      <x:c r="G53" s="14" t="str">
        <x:v>https://encyclopedia.pub/entry/52044</x:v>
      </x:c>
      <x:c r="H53" s="14" t="str">
        <x:v>webpage</x:v>
      </x:c>
      <x:c r="I53" s="14" t="str"/>
      <x:c r="J53" s="14" t="str"/>
      <x:c r="K53" s="14" t="str">
        <x:v>Zotero collection</x:v>
      </x:c>
      <x:c r="L53" s="14" t="str">
        <x:v>Unknown</x:v>
      </x:c>
      <x:c r="M53" s="14" t="str"/>
      <x:c r="N53" s="14" t="str">
        <x:v>Preferred record</x:v>
      </x:c>
      <x:c r="O53" s="14" t="str">
        <x:v>controller area network cybersecurity</x:v>
      </x:c>
      <x:c r="P53" s="14" t="str"/>
      <x:c r="Q53" s="14" t="str"/>
      <x:c r="R53" s="14" t="str">
        <x:v>The Controller Area Network, commonly referred to as Controller Area Network (CAN) bus, is a serial standard for field buses that is primarily employed i...</x:v>
      </x:c>
    </x:row>
    <x:row r="54">
      <x:c r="A54" s="14" t="str">
        <x:v>Z040</x:v>
      </x:c>
      <x:c r="B54" s="14" t="str">
        <x:v>S038</x:v>
      </x:c>
      <x:c r="C54" s="14" t="str">
        <x:v>Detecting CAN Masquerade Attacks with Signal Clustering Similarity</x:v>
      </x:c>
      <x:c r="D54" s="14" t="str">
        <x:v>Pablo Moriano; Robert A. Bridges; Michael D. Iannacone</x:v>
      </x:c>
      <x:c r="E54" s="14" t="n">
        <x:v>2022</x:v>
      </x:c>
      <x:c r="F54" s="14" t="str"/>
      <x:c r="G54" s="14" t="str">
        <x:v>https://www.ndss-symposium.org/wp-content/uploads/autosec2022_23028_paper.pdf</x:v>
      </x:c>
      <x:c r="H54" s="14" t="str">
        <x:v>conferencePaper</x:v>
      </x:c>
      <x:c r="I54" s="14" t="str"/>
      <x:c r="J54" s="14" t="str">
        <x:v>DOI.org (Crossref)</x:v>
      </x:c>
      <x:c r="K54" s="14" t="str">
        <x:v>Zotero collection</x:v>
      </x:c>
      <x:c r="L54" s="14" t="str">
        <x:v>Unknown</x:v>
      </x:c>
      <x:c r="M54" s="14" t="str"/>
      <x:c r="N54" s="14" t="str">
        <x:v>Duplicate/alternate version</x:v>
      </x:c>
      <x:c r="O54" s="14" t="str">
        <x:v>detecting can masquerade attacks with signal clustering similarity</x:v>
      </x:c>
      <x:c r="P54" s="14" t="str"/>
      <x:c r="Q54" s="14" t="str"/>
      <x:c r="R54" s="14" t="str"/>
    </x:row>
    <x:row r="55">
      <x:c r="A55" s="14" t="str">
        <x:v>Z052</x:v>
      </x:c>
      <x:c r="B55" s="14" t="str">
        <x:v>S038</x:v>
      </x:c>
      <x:c r="C55" s="14" t="str">
        <x:v>Detecting CAN Masquerade Attacks with Signal Clustering Similarity</x:v>
      </x:c>
      <x:c r="D55" s="14" t="str">
        <x:v>Pablo Moriano; Robert A. Bridges; Michael D. Iannacone</x:v>
      </x:c>
      <x:c r="E55" s="14" t="n">
        <x:v>2022</x:v>
      </x:c>
      <x:c r="F55" s="14" t="str"/>
      <x:c r="G55" s="14" t="str">
        <x:v>https://www.ndss-symposium.org/wp-content/uploads/autosec2022_23028_paper.pdf</x:v>
      </x:c>
      <x:c r="H55" s="14" t="str">
        <x:v>conferencePaper</x:v>
      </x:c>
      <x:c r="I55" s="14" t="str"/>
      <x:c r="J55" s="14" t="str">
        <x:v>DOI.org (Crossref)</x:v>
      </x:c>
      <x:c r="K55" s="14" t="str">
        <x:v>Zotero collection</x:v>
      </x:c>
      <x:c r="L55" s="14" t="str">
        <x:v>Unknown</x:v>
      </x:c>
      <x:c r="M55" s="14" t="str"/>
      <x:c r="N55" s="14" t="str">
        <x:v>Duplicate/alternate version</x:v>
      </x:c>
      <x:c r="O55" s="14" t="str">
        <x:v>detecting can masquerade attacks with signal clustering similarity</x:v>
      </x:c>
      <x:c r="P55" s="14" t="str"/>
      <x:c r="Q55" s="14" t="str"/>
      <x:c r="R55" s="14" t="str"/>
    </x:row>
    <x:row r="56">
      <x:c r="A56" s="14" t="str">
        <x:v>E007</x:v>
      </x:c>
      <x:c r="B56" s="14" t="str">
        <x:v>S038</x:v>
      </x:c>
      <x:c r="C56" s="14" t="str">
        <x:v>Detecting CAN Masquerade Attacks with Signal Clustering Similarity</x:v>
      </x:c>
      <x:c r="D56" s="14" t="str">
        <x:v>Pablo A. Moriano, Robert A. Bridges, Michael D. Iannacone</x:v>
      </x:c>
      <x:c r="E56" s="14" t="n">
        <x:v>2022</x:v>
      </x:c>
      <x:c r="F56" s="14" t="str"/>
      <x:c r="G56" s="14" t="str">
        <x:v>https://www.ndss-symposium.org/wp-content/uploads/autosec2022_23028_paper.pdf</x:v>
      </x:c>
      <x:c r="H56" s="14" t="str">
        <x:v>Workshop paper (NDSS AutoSec 2022) — Best Paper Award</x:v>
      </x:c>
      <x:c r="I56" s="14" t="str"/>
      <x:c r="J56" s="14" t="str"/>
      <x:c r="K56" s="14" t="str">
        <x:v>Existing evidence matrix</x:v>
      </x:c>
      <x:c r="L56" s="14" t="str">
        <x:v>Yes</x:v>
      </x:c>
      <x:c r="M56" s="14" t="str"/>
      <x:c r="N56" s="14" t="str">
        <x:v>Preferred record</x:v>
      </x:c>
      <x:c r="O56" s="14" t="str">
        <x:v>detecting can masquerade attacks with signal clustering similarity</x:v>
      </x:c>
      <x:c r="P56" s="14" t="str">
        <x:v>Feuil2</x:v>
      </x:c>
      <x:c r="Q56" s="14" t="n">
        <x:v>3</x:v>
      </x:c>
      <x:c r="R56" s="14" t="str"/>
    </x:row>
    <x:row r="57">
      <x:c r="A57" s="14" t="str">
        <x:v>Z042</x:v>
      </x:c>
      <x:c r="B57" s="14" t="str">
        <x:v>S039</x:v>
      </x:c>
      <x:c r="C57" s="14" t="str">
        <x:v>CANtropy: Time Series Feature Extraction-Based Intrusion Detection Systems for Controller Area Networks</x:v>
      </x:c>
      <x:c r="D57" s="14" t="str">
        <x:v>Md Hasan Shahriar; Wenjing Lou; Y. Thomas Hou</x:v>
      </x:c>
      <x:c r="E57" s="14" t="n">
        <x:v>2023</x:v>
      </x:c>
      <x:c r="F57" s="14" t="str"/>
      <x:c r="G57" s="14" t="str">
        <x:v>https://www.ndss-symposium.org/wp-content/uploads/2023/02/vehiclesec2023-23090-paper.pdf</x:v>
      </x:c>
      <x:c r="H57" s="14" t="str">
        <x:v>conferencePaper</x:v>
      </x:c>
      <x:c r="I57" s="14" t="str"/>
      <x:c r="J57" s="14" t="str">
        <x:v>DOI.org (Crossref)</x:v>
      </x:c>
      <x:c r="K57" s="14" t="str">
        <x:v>Zotero collection</x:v>
      </x:c>
      <x:c r="L57" s="14" t="str">
        <x:v>Unknown</x:v>
      </x:c>
      <x:c r="M57" s="14" t="str"/>
      <x:c r="N57" s="14" t="str">
        <x:v>Preferred record</x:v>
      </x:c>
      <x:c r="O57" s="14" t="str">
        <x:v>cantropy time series feature extraction based intrusion detection systems for controller area networks</x:v>
      </x:c>
      <x:c r="P57" s="14" t="str"/>
      <x:c r="Q57" s="14" t="str"/>
      <x:c r="R57" s="14" t="str"/>
    </x:row>
    <x:row r="58">
      <x:c r="A58" s="14" t="str">
        <x:v>Z043</x:v>
      </x:c>
      <x:c r="B58" s="14" t="str">
        <x:v>S040</x:v>
      </x:c>
      <x:c r="C58" s="14" t="str">
        <x:v>Time-Based CAN Intrusion Detection Benchmark</x:v>
      </x:c>
      <x:c r="D58" s="14" t="str">
        <x:v>Deborah H. Blevins; Pablo Moriano; Robert A. Bridges; Miki E. Verma; Michael D. Iannacone; Samuel C Hollifield</x:v>
      </x:c>
      <x:c r="E58" s="14" t="n">
        <x:v>2021</x:v>
      </x:c>
      <x:c r="F58" s="14" t="str"/>
      <x:c r="G58" s="14" t="str">
        <x:v>https://www.ndss-symposium.org/wp-content/uploads/autosec2021_23013_paper.pdf</x:v>
      </x:c>
      <x:c r="H58" s="14" t="str">
        <x:v>conferencePaper</x:v>
      </x:c>
      <x:c r="I58" s="14" t="str"/>
      <x:c r="J58" s="14" t="str">
        <x:v>DOI.org (Crossref)</x:v>
      </x:c>
      <x:c r="K58" s="14" t="str">
        <x:v>Zotero collection</x:v>
      </x:c>
      <x:c r="L58" s="14" t="str">
        <x:v>Unknown</x:v>
      </x:c>
      <x:c r="M58" s="14" t="str"/>
      <x:c r="N58" s="14" t="str">
        <x:v>Preferred record</x:v>
      </x:c>
      <x:c r="O58" s="14" t="str">
        <x:v>time based can intrusion detection benchmark</x:v>
      </x:c>
      <x:c r="P58" s="14" t="str"/>
      <x:c r="Q58" s="14" t="str"/>
      <x:c r="R58" s="14" t="str"/>
    </x:row>
    <x:row r="59">
      <x:c r="A59" s="14" t="str">
        <x:v>Z044</x:v>
      </x:c>
      <x:c r="B59" s="14" t="str">
        <x:v>S041</x:v>
      </x:c>
      <x:c r="C59" s="14" t="str">
        <x:v>A Framework for Consistent and Repeatable Controller Area Network IDS Evaluation</x:v>
      </x:c>
      <x:c r="D59" s="14" t="str">
        <x:v>Paul Agbaje; Afia Anjum; Arkajyoti Mitra; Gedare Bloom; Habeeb Olufowobi</x:v>
      </x:c>
      <x:c r="E59" s="14" t="n">
        <x:v>2022</x:v>
      </x:c>
      <x:c r="F59" s="14" t="str"/>
      <x:c r="G59" s="14" t="str">
        <x:v>https://www.ndss-symposium.org/wp-content/uploads/autosec2022_23031_paper.pdf</x:v>
      </x:c>
      <x:c r="H59" s="14" t="str">
        <x:v>conferencePaper</x:v>
      </x:c>
      <x:c r="I59" s="14" t="str"/>
      <x:c r="J59" s="14" t="str">
        <x:v>DOI.org (Crossref)</x:v>
      </x:c>
      <x:c r="K59" s="14" t="str">
        <x:v>Zotero collection</x:v>
      </x:c>
      <x:c r="L59" s="14" t="str">
        <x:v>Unknown</x:v>
      </x:c>
      <x:c r="M59" s="14" t="str"/>
      <x:c r="N59" s="14" t="str">
        <x:v>Preferred record</x:v>
      </x:c>
      <x:c r="O59" s="14" t="str">
        <x:v>a framework for consistent and repeatable controller area network ids evaluation</x:v>
      </x:c>
      <x:c r="P59" s="14" t="str"/>
      <x:c r="Q59" s="14" t="str"/>
      <x:c r="R59" s="14" t="str"/>
    </x:row>
    <x:row r="60">
      <x:c r="A60" s="14" t="str">
        <x:v>Z045</x:v>
      </x:c>
      <x:c r="B60" s="14" t="str">
        <x:v>S042</x:v>
      </x:c>
      <x:c r="C60" s="14" t="str">
        <x:v>ID Sequence Analysis for Intrusion Detection in the CAN bus using Long Short Term Memory Networks</x:v>
      </x:c>
      <x:c r="D60" s="14" t="str">
        <x:v>Araya Kibrom Desta; Shuji Ohira; Ismail Arai; Kazutoshi Fujikawa</x:v>
      </x:c>
      <x:c r="E60" s="14" t="n">
        <x:v>2020</x:v>
      </x:c>
      <x:c r="F60" s="14" t="str"/>
      <x:c r="G60" s="14" t="str">
        <x:v>https://ieeexplore.ieee.org/document/9156250/</x:v>
      </x:c>
      <x:c r="H60" s="14" t="str">
        <x:v>conferencePaper</x:v>
      </x:c>
      <x:c r="I60" s="14" t="str"/>
      <x:c r="J60" s="14" t="str">
        <x:v>DOI.org (Crossref)</x:v>
      </x:c>
      <x:c r="K60" s="14" t="str">
        <x:v>Zotero collection</x:v>
      </x:c>
      <x:c r="L60" s="14" t="str">
        <x:v>Unknown</x:v>
      </x:c>
      <x:c r="M60" s="14" t="str"/>
      <x:c r="N60" s="14" t="str">
        <x:v>Preferred record</x:v>
      </x:c>
      <x:c r="O60" s="14" t="str">
        <x:v>id sequence analysis for intrusion detection in the can bus using long short term memory networks</x:v>
      </x:c>
      <x:c r="P60" s="14" t="str"/>
      <x:c r="Q60" s="14" t="str"/>
      <x:c r="R60" s="14" t="str"/>
    </x:row>
    <x:row r="61">
      <x:c r="A61" s="14" t="str">
        <x:v>Z046</x:v>
      </x:c>
      <x:c r="B61" s="14" t="str">
        <x:v>S043</x:v>
      </x:c>
      <x:c r="C61" s="14" t="str">
        <x:v>Confidence ensembles: Tabular data classifiers on steroids</x:v>
      </x:c>
      <x:c r="D61" s="14" t="str">
        <x:v>Tommaso Zoppi; Peter Popov</x:v>
      </x:c>
      <x:c r="E61" s="14" t="n">
        <x:v>2025</x:v>
      </x:c>
      <x:c r="F61" s="14" t="str"/>
      <x:c r="G61" s="14" t="str">
        <x:v>https://linkinghub.elsevier.com/retrieve/pii/S156625352500199X</x:v>
      </x:c>
      <x:c r="H61" s="14" t="str">
        <x:v>journalArticle</x:v>
      </x:c>
      <x:c r="I61" s="14" t="str">
        <x:v>Information Fusion</x:v>
      </x:c>
      <x:c r="J61" s="14" t="str">
        <x:v>DOI.org (Crossref)</x:v>
      </x:c>
      <x:c r="K61" s="14" t="str">
        <x:v>Zotero collection</x:v>
      </x:c>
      <x:c r="L61" s="14" t="str">
        <x:v>Unknown</x:v>
      </x:c>
      <x:c r="M61" s="14" t="str"/>
      <x:c r="N61" s="14" t="str">
        <x:v>Preferred record</x:v>
      </x:c>
      <x:c r="O61" s="14" t="str">
        <x:v>confidence ensembles tabular data classifiers on steroids</x:v>
      </x:c>
      <x:c r="P61" s="14" t="str"/>
      <x:c r="Q61" s="14" t="str"/>
      <x:c r="R61" s="14" t="str"/>
    </x:row>
    <x:row r="62">
      <x:c r="A62" s="14" t="str">
        <x:v>Z047</x:v>
      </x:c>
      <x:c r="B62" s="14" t="str">
        <x:v>S044</x:v>
      </x:c>
      <x:c r="C62" s="14" t="str">
        <x:v>CAN-MIRGU: A Comprehensive CAN Bus Attack Dataset from Moving Vehicles for Intrusion Detection System Evaluation</x:v>
      </x:c>
      <x:c r="D62" s="14" t="str">
        <x:v>Sampath Rajapaksha; Harsha Kalutarage; Garikayi Madzudzo; Andrei Petrovski; M.Omar Al-Kadri</x:v>
      </x:c>
      <x:c r="E62" s="14" t="n">
        <x:v>2024</x:v>
      </x:c>
      <x:c r="F62" s="14" t="str"/>
      <x:c r="G62" s="14" t="str">
        <x:v>https://www.ndss-symposium.org/wp-content/uploads/vehiclesec2024-43-paper.pdf</x:v>
      </x:c>
      <x:c r="H62" s="14" t="str">
        <x:v>conferencePaper</x:v>
      </x:c>
      <x:c r="I62" s="14" t="str"/>
      <x:c r="J62" s="14" t="str">
        <x:v>DOI.org (Crossref)</x:v>
      </x:c>
      <x:c r="K62" s="14" t="str">
        <x:v>Zotero collection</x:v>
      </x:c>
      <x:c r="L62" s="14" t="str">
        <x:v>Unknown</x:v>
      </x:c>
      <x:c r="M62" s="14" t="str"/>
      <x:c r="N62" s="14" t="str">
        <x:v>Preferred record</x:v>
      </x:c>
      <x:c r="O62" s="14" t="str">
        <x:v>can mirgu a comprehensive can bus attack dataset from moving vehicles for intrusion detection system evaluation</x:v>
      </x:c>
      <x:c r="P62" s="14" t="str"/>
      <x:c r="Q62" s="14" t="str"/>
      <x:c r="R62" s="14" t="str"/>
    </x:row>
    <x:row r="63">
      <x:c r="A63" s="14" t="str">
        <x:v>Z050</x:v>
      </x:c>
      <x:c r="B63" s="14" t="str">
        <x:v>S044</x:v>
      </x:c>
      <x:c r="C63" s="14" t="str">
        <x:v>CAN-MIRGU: A Comprehensive CAN Bus Attack Dataset from Moving Vehicles for Intrusion Detection System Evaluation</x:v>
      </x:c>
      <x:c r="D63" s="14" t="str">
        <x:v>Sampath Rajapaksha; Garikayi Madzudzo; Harsha Kalutarage; Andrei Petrovski; M. Omar Al-Kadri</x:v>
      </x:c>
      <x:c r="E63" s="14" t="n">
        <x:v>2024</x:v>
      </x:c>
      <x:c r="F63" s="14" t="str"/>
      <x:c r="G63" s="14" t="str"/>
      <x:c r="H63" s="14" t="str">
        <x:v>book</x:v>
      </x:c>
      <x:c r="I63" s="14" t="str"/>
      <x:c r="J63" s="14" t="str">
        <x:v>ResearchGate</x:v>
      </x:c>
      <x:c r="K63" s="14" t="str">
        <x:v>Zotero collection</x:v>
      </x:c>
      <x:c r="L63" s="14" t="str">
        <x:v>Unknown</x:v>
      </x:c>
      <x:c r="M63" s="14" t="str"/>
      <x:c r="N63" s="14" t="str">
        <x:v>Duplicate/alternate version</x:v>
      </x:c>
      <x:c r="O63" s="14" t="str">
        <x:v>can mirgu a comprehensive can bus attack dataset from moving vehicles for intrusion detection system evaluation</x:v>
      </x:c>
      <x:c r="P63" s="14" t="str"/>
      <x:c r="Q63" s="14" t="str"/>
      <x:c r="R63" s="14" t="str">
        <x:v>The Controller Area Network (CAN Bus) has emerged as the de facto standard for in-vehicle communication. However, the CAN bus lacks security features, such as encryption and authentication, making it vulnerable to cyberattacks. In response, the current literature has prioritized the development of Intrusion Detection Systems (IDSs). Nevertheless, the progress of IDS research encounters significant obstacles due to the absence of high-quality, publicly available real CAN data, especially data featuring realistic, verified attacks. This scarcity primarily arises from the substantial cost and associated risks involved in generating real attack data on moving vehicles. Addressing this challenge, this paper introduces a novel CAN bus attack dataset collected from a modern automobile equipped with autonomous driving capabilities, operating under real-world driving conditions. The dataset includes 17 hours of benign data, covering a wide range of scenarios, crucial for training IDSs. Additionally, it comprises 26 physically verified real injection attacks, including Denial-of-Service (DoS), fuzzing, replay, and spoofing, targeting 13 CAN IDs. Furthermore, the dataset encompasses 10 simulated masquerade and suspension attacks, offering 2 hours and 54 minutes of attack data. This comprehensive dataset facilitates rigorous testing and evaluation of various IDSs against a diverse array of realistic attacks, contributing to the enhancement of in-vehicle security.</x:v>
      </x:c>
    </x:row>
    <x:row r="64">
      <x:c r="A64" s="14" t="str">
        <x:v>Z051</x:v>
      </x:c>
      <x:c r="B64" s="14" t="str">
        <x:v>S045</x:v>
      </x:c>
      <x:c r="C64" s="14" t="str">
        <x:v>Vehicular Intrusion Detection System for Controller Area Network: A Comprehensive Survey and Evaluation</x:v>
      </x:c>
      <x:c r="D64" s="14" t="str"/>
      <x:c r="E64" s="14" t="str"/>
      <x:c r="F64" s="14" t="str"/>
      <x:c r="G64" s="14" t="str">
        <x:v>https://arxiv.org/html/2505.17274v1</x:v>
      </x:c>
      <x:c r="H64" s="14" t="str">
        <x:v>webpage</x:v>
      </x:c>
      <x:c r="I64" s="14" t="str"/>
      <x:c r="J64" s="14" t="str"/>
      <x:c r="K64" s="14" t="str">
        <x:v>Zotero collection</x:v>
      </x:c>
      <x:c r="L64" s="14" t="str">
        <x:v>Unknown</x:v>
      </x:c>
      <x:c r="M64" s="14" t="str"/>
      <x:c r="N64" s="14" t="str">
        <x:v>Preferred record</x:v>
      </x:c>
      <x:c r="O64" s="14" t="str">
        <x:v>vehicular intrusion detection system for controller area network a comprehensive survey and evaluation</x:v>
      </x:c>
      <x:c r="P64" s="14" t="str"/>
      <x:c r="Q64" s="14" t="str"/>
      <x:c r="R64" s="14" t="str"/>
    </x:row>
    <x:row r="65">
      <x:c r="A65" s="14" t="str">
        <x:v>Z053</x:v>
      </x:c>
      <x:c r="B65" s="14" t="str">
        <x:v>S046</x:v>
      </x:c>
      <x:c r="C65" s="14" t="str">
        <x:v>(PDF) TTIDS: Transmission-Resuming Time-Based Intrusion Detection System for Controller Area Network (CAN)</x:v>
      </x:c>
      <x:c r="D65" s="14" t="str"/>
      <x:c r="E65" s="14" t="str"/>
      <x:c r="F65" s="14" t="str"/>
      <x:c r="G65" s="14" t="str">
        <x:v>https://www.researchgate.net/publication/360534626_TTIDS_Transmission-Resuming_Time-Based_Intrusion_Detection_System_for_Controller_Area_Network_CAN</x:v>
      </x:c>
      <x:c r="H65" s="14" t="str">
        <x:v>webpage</x:v>
      </x:c>
      <x:c r="I65" s="14" t="str"/>
      <x:c r="J65" s="14" t="str"/>
      <x:c r="K65" s="14" t="str">
        <x:v>Zotero collection</x:v>
      </x:c>
      <x:c r="L65" s="14" t="str">
        <x:v>Unknown</x:v>
      </x:c>
      <x:c r="M65" s="14" t="str"/>
      <x:c r="N65" s="14" t="str">
        <x:v>Preferred record</x:v>
      </x:c>
      <x:c r="O65" s="14" t="str">
        <x:v>pdf ttids transmission resuming time based intrusion detection system for controller area network can</x:v>
      </x:c>
      <x:c r="P65" s="14" t="str"/>
      <x:c r="Q65" s="14" t="str"/>
      <x:c r="R65" s="14" t="str"/>
    </x:row>
    <x:row r="66">
      <x:c r="A66" s="14" t="str">
        <x:v>Z054</x:v>
      </x:c>
      <x:c r="B66" s="14" t="str">
        <x:v>S047</x:v>
      </x:c>
      <x:c r="C66" s="14" t="str">
        <x:v>ATHENA: An In-vehicle CAN Intrusion Detection Framework Based on Physical Characteristics of Vehicle Systems</x:v>
      </x:c>
      <x:c r="D66" s="14" t="str"/>
      <x:c r="E66" s="14" t="str"/>
      <x:c r="F66" s="14" t="str"/>
      <x:c r="G66" s="14" t="str">
        <x:v>https://arxiv.org/html/2503.17067v1</x:v>
      </x:c>
      <x:c r="H66" s="14" t="str">
        <x:v>webpage</x:v>
      </x:c>
      <x:c r="I66" s="14" t="str"/>
      <x:c r="J66" s="14" t="str"/>
      <x:c r="K66" s="14" t="str">
        <x:v>Zotero collection</x:v>
      </x:c>
      <x:c r="L66" s="14" t="str">
        <x:v>Unknown</x:v>
      </x:c>
      <x:c r="M66" s="14" t="str"/>
      <x:c r="N66" s="14" t="str">
        <x:v>Preferred record</x:v>
      </x:c>
      <x:c r="O66" s="14" t="str">
        <x:v>athena an in vehicle can intrusion detection framework based on physical characteristics of vehicle systems</x:v>
      </x:c>
      <x:c r="P66" s="14" t="str"/>
      <x:c r="Q66" s="14" t="str"/>
      <x:c r="R66" s="14" t="str"/>
    </x:row>
    <x:row r="67">
      <x:c r="A67" s="14" t="str">
        <x:v>Z055</x:v>
      </x:c>
      <x:c r="B67" s="14" t="str">
        <x:v>S048</x:v>
      </x:c>
      <x:c r="C67" s="14" t="str">
        <x:v>(PDF) Intrusion Response System for Vehicles: Challenges and Vision</x:v>
      </x:c>
      <x:c r="D67" s="14" t="str"/>
      <x:c r="E67" s="14" t="str"/>
      <x:c r="F67" s="14" t="str"/>
      <x:c r="G67" s="14" t="str">
        <x:v>https://www.researchgate.net/publication/348890406_Intrusion_Response_System_for_Vehicles_Challenges_and_Vision</x:v>
      </x:c>
      <x:c r="H67" s="14" t="str">
        <x:v>webpage</x:v>
      </x:c>
      <x:c r="I67" s="14" t="str"/>
      <x:c r="J67" s="14" t="str"/>
      <x:c r="K67" s="14" t="str">
        <x:v>Zotero collection</x:v>
      </x:c>
      <x:c r="L67" s="14" t="str">
        <x:v>Unknown</x:v>
      </x:c>
      <x:c r="M67" s="14" t="str"/>
      <x:c r="N67" s="14" t="str">
        <x:v>Preferred record</x:v>
      </x:c>
      <x:c r="O67" s="14" t="str">
        <x:v>pdf intrusion response system for vehicles challenges and vision</x:v>
      </x:c>
      <x:c r="P67" s="14" t="str"/>
      <x:c r="Q67" s="14" t="str"/>
      <x:c r="R67" s="14" t="str"/>
    </x:row>
    <x:row r="68">
      <x:c r="A68" s="14" t="str">
        <x:v>Z056</x:v>
      </x:c>
      <x:c r="B68" s="14" t="str">
        <x:v>S049</x:v>
      </x:c>
      <x:c r="C68" s="14" t="str">
        <x:v>Cybersecurity Engineering: Bridging the Security Gaps in Advanced Automotive Systems and ISO/SAE 21434</x:v>
      </x:c>
      <x:c r="D68" s="14" t="str">
        <x:v>Fahad Siddiqui; Rafiullah Khan; Sena Yengec; Henry Hui; Balmukund Sonigara; Sakir Sezer; Kieran Mclaughlin</x:v>
      </x:c>
      <x:c r="E68" s="14" t="n">
        <x:v>2023</x:v>
      </x:c>
      <x:c r="F68" s="14" t="str"/>
      <x:c r="G68" s="14" t="str"/>
      <x:c r="H68" s="14" t="str">
        <x:v>book</x:v>
      </x:c>
      <x:c r="I68" s="14" t="str"/>
      <x:c r="J68" s="14" t="str">
        <x:v>ResearchGate</x:v>
      </x:c>
      <x:c r="K68" s="14" t="str">
        <x:v>Zotero collection</x:v>
      </x:c>
      <x:c r="L68" s="14" t="str">
        <x:v>Unknown</x:v>
      </x:c>
      <x:c r="M68" s="14" t="str"/>
      <x:c r="N68" s="14" t="str">
        <x:v>Preferred record</x:v>
      </x:c>
      <x:c r="O68" s="14" t="str">
        <x:v>cybersecurity engineering bridging the security gaps in advanced automotive systems and iso sae 21434</x:v>
      </x:c>
      <x:c r="P68" s="14" t="str"/>
      <x:c r="Q68" s="14" t="str"/>
      <x:c r="R68" s="14" t="str">
        <x:v>Advanced Driver Assistance System is one of the enabling technologies for autonomous driving. It senses and analyses the vehicle surroundings, detects the presence of potential risks as well as hazards and generates advisories. These advisories assist the autonomous driving system to take corrective measures to reduce safety risks and avoid fatal road accidents. For this purpose, ADAS uses various advanced sensing and data communication technologies to gather, process and share vehicle data. Noentheless the use of these advanced connected technologies is expected to grow further in road infrastructure such as Vehicle-to-everything (V2X). In this regard, where this sharing of mix-critical data brings opportunities, if compromised, presents serious cybersecurity threats and safety risks due to the cyber-physical nature of these advanced automotive systems. Therefore, the automotive system design approach of adhering to functional safety standards (ISO 26262) alone is inadequate to protect the vehicle’s critical functions from a range of cyberattacks. To approach this challenge, the ISO/SAE 21434 standard provides a cybersecurity baseline for vehicle manufacturers to effectively manage cybersecurity risks and improve the cyber resilience of the automotive system. This paper adopts a holistic cybersecurity engineering process as a baseline and bridges the security gap by mapping the security engineering requirements of ISO/SAE 21434 to the traditional system design engineering processes including system generation and runtime phases. It also introduces an experimental automotive use case, defines the scope to establish the context, presents a comprehensive Threat Analysis and Risk Assessment and derives appropriate risk mitigation strategies. The proposed work facilitates automotive system designers to follow ISO/SAE 21434 standard guidelines by systematically identify, assess, protect and manage the cybersecurity risks across the automotive system life cycle.</x:v>
      </x:c>
    </x:row>
    <x:row r="69">
      <x:c r="A69" s="14" t="str">
        <x:v>Z057</x:v>
      </x:c>
      <x:c r="B69" s="14" t="str">
        <x:v>S050</x:v>
      </x:c>
      <x:c r="C69" s="14" t="str">
        <x:v>ISO/SAE 21434-Based Risk Assessment of Security Incidents in Automated Road Vehicles</x:v>
      </x:c>
      <x:c r="D69" s="14" t="str">
        <x:v>Dominik Püllen; Jonas Liske; Stefan Katzenbeisser</x:v>
      </x:c>
      <x:c r="E69" s="14" t="n">
        <x:v>2021</x:v>
      </x:c>
      <x:c r="F69" s="14" t="str"/>
      <x:c r="G69" s="14" t="str"/>
      <x:c r="H69" s="14" t="str">
        <x:v>bookSection</x:v>
      </x:c>
      <x:c r="I69" s="14" t="str"/>
      <x:c r="J69" s="14" t="str">
        <x:v>ResearchGate</x:v>
      </x:c>
      <x:c r="K69" s="14" t="str">
        <x:v>Zotero collection</x:v>
      </x:c>
      <x:c r="L69" s="14" t="str">
        <x:v>Unknown</x:v>
      </x:c>
      <x:c r="M69" s="14" t="str"/>
      <x:c r="N69" s="14" t="str">
        <x:v>Preferred record</x:v>
      </x:c>
      <x:c r="O69" s="14" t="str">
        <x:v>iso sae 21434 based risk assessment of security incidents in automated road vehicles</x:v>
      </x:c>
      <x:c r="P69" s="14" t="str"/>
      <x:c r="Q69" s="14" t="str"/>
      <x:c r="R69" s="14" t="str">
        <x:v>Although numerous automotive security solutions have been presented in the last years, the question of how to properly react to security incidents during vehicle operation has not yet received much attention. In this work, we describe a context-aware scheme for automated road vehicles that assesses the risk of security incidents intending to automatically identify adequate countermeasures. We specifically focus on attack propagation, as related works proved how seemingly uncritical, but compromised vehicle components can cause dangerous situations. Our scheme is inspired by the risk assessment process of the novel ISO/SAE 21434 cybersecurity standard, which uses attack paths to model static threat scenarios. In contrast, our scheme dynamically queries an asset dependency graph once a security incident is reported, in order to identify attack paths leading to pre-assessed damage scenarios. Since the expected damage of a security incident also depends on the vehicle context, we include information such as speed, time, and traffic density into the risk computation. Based on the resulting risk value, the vehicle selects and realizes a compensating (safety) action. Finally, we discuss our scheme and conduct a case study on an automated prototype vehicle.</x:v>
      </x:c>
    </x:row>
    <x:row r="70">
      <x:c r="A70" s="14" t="str">
        <x:v>Z058</x:v>
      </x:c>
      <x:c r="B70" s="14" t="str">
        <x:v>S051</x:v>
      </x:c>
      <x:c r="C70" s="14" t="str">
        <x:v>Works search | OpenAlex</x:v>
      </x:c>
      <x:c r="D70" s="14" t="str"/>
      <x:c r="E70" s="14" t="str"/>
      <x:c r="F70" s="14" t="str"/>
      <x:c r="G70" s="14" t="str">
        <x:v>https://openalex.org/works?search.title_and_abstract=%22vehicle-to-cloud%22+cybersecurity+intrusion+detection&amp;page=1&amp;sort=relevance_score:desc</x:v>
      </x:c>
      <x:c r="H70" s="14" t="str">
        <x:v>webpage</x:v>
      </x:c>
      <x:c r="I70" s="14" t="str"/>
      <x:c r="J70" s="14" t="str"/>
      <x:c r="K70" s="14" t="str">
        <x:v>Zotero collection</x:v>
      </x:c>
      <x:c r="L70" s="14" t="str">
        <x:v>Unknown</x:v>
      </x:c>
      <x:c r="M70" s="14" t="str"/>
      <x:c r="N70" s="14" t="str">
        <x:v>Preferred record</x:v>
      </x:c>
      <x:c r="O70" s="14" t="str">
        <x:v>works search openalex</x:v>
      </x:c>
      <x:c r="P70" s="14" t="str"/>
      <x:c r="Q70" s="14" t="str"/>
      <x:c r="R70" s="14" t="str"/>
    </x:row>
    <x:row r="71">
      <x:c r="A71" s="14" t="str">
        <x:v>Z059</x:v>
      </x:c>
      <x:c r="B71" s="14" t="str">
        <x:v>S052</x:v>
      </x:c>
      <x:c r="C71" s="14" t="str">
        <x:v>Cybersecurity Risks in Connected Vehicles</x:v>
      </x:c>
      <x:c r="D71" s="14" t="str">
        <x:v>Sai Kalyani Rachapalli</x:v>
      </x:c>
      <x:c r="E71" s="14" t="n">
        <x:v>2023</x:v>
      </x:c>
      <x:c r="F71" s="14" t="str"/>
      <x:c r="G71" s="14" t="str">
        <x:v>https://www.ijirmps.org/research-paper.php?id=232510</x:v>
      </x:c>
      <x:c r="H71" s="14" t="str">
        <x:v>journalArticle</x:v>
      </x:c>
      <x:c r="I71" s="14" t="str"/>
      <x:c r="J71" s="14" t="str">
        <x:v>www.ijirmps.org</x:v>
      </x:c>
      <x:c r="K71" s="14" t="str">
        <x:v>Zotero collection</x:v>
      </x:c>
      <x:c r="L71" s="14" t="str">
        <x:v>Unknown</x:v>
      </x:c>
      <x:c r="M71" s="14" t="str"/>
      <x:c r="N71" s="14" t="str">
        <x:v>Preferred record</x:v>
      </x:c>
      <x:c r="O71" s="14" t="str">
        <x:v>cybersecurity risks in connected vehicles</x:v>
      </x:c>
      <x:c r="P71" s="14" t="str"/>
      <x:c r="Q71" s="14" t="str"/>
      <x:c r="R71" s="14" t="str">
        <x:v>Connected vehicles (CVs) represent a major technological advancement in the transportation sector, offering enhanced functionality, safety features, and real-time data communication. With the integration of Vehicle-to-Everything (V2X) technologies—including Vehicle-to-Vehicle (V2V), Vehicle-to-Infrastructure (V2I), and Vehicle-to-Cloud (V2C) systems—automobiles have transitioned into complex cyber-physical systems. However, this increased connectivity has exponentially expanded the attack surface, rendering vehicles vulnerable to numerous cybersecurity threats. Remote hijacking of vehicles, data breaches, denial of service attacks, and manipulation of vehicular control systems have been demonstrated in various research and real-world incidents. Such vulnerabilities pose significant risks not only to driver and passenger safety but also to broader public infrastructure. This paper investigates the cybersecurity threats facing connected vehicles, analyzing potential attack vectors, risk impacts, and current mitigation approaches. Utilizing a comprehensive methodology involving threat modeling through the STRIDE framework, risk prioritization using a modified DREAD analysis, and case study evaluation, key security challenges are systematically identified. A detailed literature review emphasizes recent advances in automotive cybersecurity, including machine learning-based intrusion detection systems and blockchain solutions for secure communications. Results indicate that while advancements in secure communication protocols and in-vehicle network segmentation offer partial defenses, connected vehicles remain substantially exposed to evolving cyber threats. Discussion of the findings reveals critical gaps in current defense strategies, underscoring the need for security-by-design practices, continuous monitoring, and a life-cycle security management approach. Standardization efforts by international bodies, though promising, are insufficient without rigorous industry adoption and frequent updates. The paper concludes by proposing future directions for research and policy, highlighting the importance of proactive and adaptive cybersecurity measures to ensure the safety, privacy, and reliability of connected vehicular ecosystems. By addressing cybersecurity risks comprehensively, stakeholders can facilitate the safe evolution of connected vehicles, balancing innovation with robust protection measures to safeguard individuals and societies at large.</x:v>
      </x:c>
    </x:row>
    <x:row r="72">
      <x:c r="A72" s="14" t="str">
        <x:v>E001</x:v>
      </x:c>
      <x:c r="B72" s="14" t="str">
        <x:v>S053</x:v>
      </x:c>
      <x:c r="C72" s="14" t="str">
        <x:v>Cloud-based cyber-physical intrusion detection for vehicles using Deep Learning</x:v>
      </x:c>
      <x:c r="D72" s="14" t="str">
        <x:v>Loukas, George ORCID logo, Vuong, Tuan, Heartfield, Ryan, Sakellari, Georgia ORCID logo, Yoon, Yongpil and Gan, Diane</x:v>
      </x:c>
      <x:c r="E72" s="14" t="n">
        <x:v>2017</x:v>
      </x:c>
      <x:c r="F72" s="14" t="str"/>
      <x:c r="G72" s="14" t="str">
        <x:v>https://gala.gre.ac.uk/id/eprint/18213/</x:v>
      </x:c>
      <x:c r="H72" s="14" t="str">
        <x:v>Article</x:v>
      </x:c>
      <x:c r="I72" s="14" t="str"/>
      <x:c r="J72" s="14" t="str"/>
      <x:c r="K72" s="14" t="str">
        <x:v>Existing evidence matrix</x:v>
      </x:c>
      <x:c r="L72" s="14" t="str">
        <x:v>Yes</x:v>
      </x:c>
      <x:c r="M72" s="14" t="str"/>
      <x:c r="N72" s="14" t="str">
        <x:v>Preferred record</x:v>
      </x:c>
      <x:c r="O72" s="14" t="str">
        <x:v>cloud based cyber physical intrusion detection for vehicles using deep learning</x:v>
      </x:c>
      <x:c r="P72" s="14" t="str">
        <x:v>Feuil1</x:v>
      </x:c>
      <x:c r="Q72" s="14" t="n">
        <x:v>2</x:v>
      </x:c>
      <x:c r="R72" s="14" t="str"/>
    </x:row>
    <x:row r="73">
      <x:c r="A73" s="14" t="str">
        <x:v>E002</x:v>
      </x:c>
      <x:c r="B73" s="14" t="str">
        <x:v>S054</x:v>
      </x:c>
      <x:c r="C73" s="14" t="str">
        <x:v>Network Offloading Policies for Cloud Robotics: a Learning-based Approach</x:v>
      </x:c>
      <x:c r="D73" s="14" t="str">
        <x:v>Sandeep Chinchali∗ , Apoorva Sharma‡ , James Harrison§ , Amine Elhafsi‡ , Daniel Kang∗ , Evgenya Pergament† , Eyal Cidon† , Sachin Katti∗†, Marco Pavone‡</x:v>
      </x:c>
      <x:c r="E73" s="14" t="n">
        <x:v>2019</x:v>
      </x:c>
      <x:c r="F73" s="14" t="str"/>
      <x:c r="G73" s="14" t="str">
        <x:v>https://arxiv.org/abs/1902.05703</x:v>
      </x:c>
      <x:c r="H73" s="14" t="str">
        <x:v>Preprint / arXiv paper</x:v>
      </x:c>
      <x:c r="I73" s="14" t="str"/>
      <x:c r="J73" s="14" t="str"/>
      <x:c r="K73" s="14" t="str">
        <x:v>Existing evidence matrix</x:v>
      </x:c>
      <x:c r="L73" s="14" t="str">
        <x:v>Yes</x:v>
      </x:c>
      <x:c r="M73" s="14" t="str"/>
      <x:c r="N73" s="14" t="str">
        <x:v>Preferred record</x:v>
      </x:c>
      <x:c r="O73" s="14" t="str">
        <x:v>network offloading policies for cloud robotics a learning based approach</x:v>
      </x:c>
      <x:c r="P73" s="14" t="str">
        <x:v>Feuil1</x:v>
      </x:c>
      <x:c r="Q73" s="14" t="n">
        <x:v>3</x:v>
      </x:c>
      <x:c r="R73" s="14" t="str"/>
    </x:row>
    <x:row r="74">
      <x:c r="A74" s="14" t="str">
        <x:v>E003</x:v>
      </x:c>
      <x:c r="B74" s="14" t="str">
        <x:v>S055</x:v>
      </x:c>
      <x:c r="C74" s="14" t="str">
        <x:v>A Reliability-Aware Edge–Cloud Framework for Early Intrusion Detection in IoT Networks</x:v>
      </x:c>
      <x:c r="D74" s="14" t="str">
        <x:v>Siraj Azam, Farheen Naaz, Mikail Mohammed Salim</x:v>
      </x:c>
      <x:c r="E74" s="14" t="n">
        <x:v>2026</x:v>
      </x:c>
      <x:c r="F74" s="14" t="str"/>
      <x:c r="G74" s="14" t="str">
        <x:v>https://www.mdpi.com/2079-9292/15/16/3506</x:v>
      </x:c>
      <x:c r="H74" s="14" t="str">
        <x:v>Journal article / MDPI Electronics</x:v>
      </x:c>
      <x:c r="I74" s="14" t="str"/>
      <x:c r="J74" s="14" t="str"/>
      <x:c r="K74" s="14" t="str">
        <x:v>Existing evidence matrix</x:v>
      </x:c>
      <x:c r="L74" s="14" t="str">
        <x:v>Yes</x:v>
      </x:c>
      <x:c r="M74" s="14" t="str"/>
      <x:c r="N74" s="14" t="str">
        <x:v>Preferred record</x:v>
      </x:c>
      <x:c r="O74" s="14" t="str">
        <x:v>a reliability aware edgecloud framework for early intrusion detection in iot networks</x:v>
      </x:c>
      <x:c r="P74" s="14" t="str">
        <x:v>Feuil1</x:v>
      </x:c>
      <x:c r="Q74" s="14" t="n">
        <x:v>4</x:v>
      </x:c>
      <x:c r="R74" s="14" t="str"/>
    </x:row>
    <x:row r="75">
      <x:c r="A75" s="14" t="str">
        <x:v>E005</x:v>
      </x:c>
      <x:c r="B75" s="14" t="str">
        <x:v>S056</x:v>
      </x:c>
      <x:c r="C75" s="14" t="str">
        <x:v>Mastering Multiple-Expert Routing: Realizable H-Consistency and Strong Guarantees for Learning to Defer</x:v>
      </x:c>
      <x:c r="D75" s="14" t="str">
        <x:v>Anqi Mao, Mehryar Mohri, Yutao Zhong</x:v>
      </x:c>
      <x:c r="E75" s="14" t="n">
        <x:v>2025</x:v>
      </x:c>
      <x:c r="F75" s="14" t="str"/>
      <x:c r="G75" s="14" t="str">
        <x:v>https://proceedings.mlr.press/v267/mao25c.html</x:v>
      </x:c>
      <x:c r="H75" s="14" t="str">
        <x:v>Machine learning theory conference paper</x:v>
      </x:c>
      <x:c r="I75" s="14" t="str"/>
      <x:c r="J75" s="14" t="str"/>
      <x:c r="K75" s="14" t="str">
        <x:v>Existing evidence matrix</x:v>
      </x:c>
      <x:c r="L75" s="14" t="str">
        <x:v>Yes</x:v>
      </x:c>
      <x:c r="M75" s="14" t="str"/>
      <x:c r="N75" s="14" t="str">
        <x:v>Preferred record</x:v>
      </x:c>
      <x:c r="O75" s="14" t="str">
        <x:v>mastering multiple expert routing realizable h consistency and strong guarantees for learning to defer</x:v>
      </x:c>
      <x:c r="P75" s="14" t="str">
        <x:v>Feuil1</x:v>
      </x:c>
      <x:c r="Q75" s="14" t="n">
        <x:v>6</x:v>
      </x:c>
      <x:c r="R75" s="14" t="str"/>
    </x:row>
  </x:sheetData>
  <x:conditionalFormatting sqref="N2:N75">
    <x:cfRule type="containsText" dxfId="3" priority="1" operator="containsText" text="Duplicate"/>
  </x:conditionalFormatting>
  <x:pageMargins left="0.7" right="0.7" top="0.75" bottom="0.75" header="0.3" footer="0.3"/>
</x:worksheet>
</file>